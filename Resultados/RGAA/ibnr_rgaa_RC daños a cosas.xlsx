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0FF318F5-20EB-4B4C-91BA-DBD8F53C1A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Sheet1!$I$20:$I$26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7" i="1"/>
  <c r="I8" i="1"/>
  <c r="I9" i="1"/>
  <c r="I10" i="1"/>
  <c r="I11" i="1"/>
  <c r="I12" i="1"/>
  <c r="I7" i="1"/>
</calcChain>
</file>

<file path=xl/sharedStrings.xml><?xml version="1.0" encoding="utf-8"?>
<sst xmlns="http://schemas.openxmlformats.org/spreadsheetml/2006/main" count="5" uniqueCount="5">
  <si>
    <t>IBNR</t>
  </si>
  <si>
    <t>Diagonal</t>
  </si>
  <si>
    <t>Ultimate</t>
  </si>
  <si>
    <t>FDA</t>
  </si>
  <si>
    <t>Año de Ocurrencia \ 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</si>
</sst>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2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6" fontId="0" fillId="0" borderId="8" xfId="0" applyNumberFormat="1" applyBorder="1"/>
    <xf numFmtId="166" fontId="0" fillId="0" borderId="4" xfId="0" applyNumberFormat="1" applyBorder="1"/>
    <xf numFmtId="166" fontId="0" fillId="0" borderId="1" xfId="0" applyNumberFormat="1" applyBorder="1"/>
    <xf numFmtId="166" fontId="0" fillId="0" borderId="9" xfId="0" applyNumberFormat="1" applyBorder="1"/>
    <xf numFmtId="166" fontId="0" fillId="0" borderId="0" xfId="0" applyNumberFormat="1"/>
    <xf numFmtId="166" fontId="0" fillId="0" borderId="5" xfId="0" applyNumberFormat="1" applyBorder="1"/>
    <xf numFmtId="166" fontId="0" fillId="0" borderId="10" xfId="0" applyNumberFormat="1" applyBorder="1"/>
    <xf numFmtId="166" fontId="0" fillId="0" borderId="6" xfId="0" applyNumberFormat="1" applyBorder="1"/>
    <xf numFmtId="166" fontId="0" fillId="0" borderId="7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6:L12"/>
  <sheetViews>
    <sheetView showGridLines="0" tabSelected="1" workbookViewId="0">
      <selection activeCell="G23" sqref="G23"/>
    </sheetView>
  </sheetViews>
  <sheetFormatPr defaultRowHeight="15" x14ac:dyDescent="0.25"/>
  <cols>
    <col min="1" max="1" width="18.140625" bestFit="1" customWidth="1"/>
    <col min="6" max="6" width="26" bestFit="1" customWidth="1"/>
    <col min="7" max="7" width="9.5703125" bestFit="1" customWidth="1"/>
    <col min="8" max="8" width="9" bestFit="1" customWidth="1"/>
    <col min="9" max="9" width="9.5703125" bestFit="1" customWidth="1"/>
    <col min="10" max="10" width="9" bestFit="1" customWidth="1"/>
  </cols>
  <sheetData>
    <row r="6" spans="6:12" x14ac:dyDescent="0.25">
      <c r="F6" s="5" t="s">
        <v>4</v>
      </c>
      <c r="G6" s="2" t="s">
        <v>1</v>
      </c>
      <c r="H6" s="3" t="s">
        <v>3</v>
      </c>
      <c r="I6" s="2" t="s">
        <v>2</v>
      </c>
      <c r="J6" s="4" t="s">
        <v>0</v>
      </c>
    </row>
    <row r="7" spans="6:12" x14ac:dyDescent="0.25">
      <c r="F7" s="1">
        <v>43101</v>
      </c>
      <c r="G7" s="6">
        <v>887.56050124498256</v>
      </c>
      <c r="H7" s="7">
        <v>1.05</v>
      </c>
      <c r="I7" s="6">
        <f>H7*G7</f>
        <v>931.93852630723177</v>
      </c>
      <c r="J7" s="8">
        <f>I7-G7</f>
        <v>44.378025062249208</v>
      </c>
      <c r="L7">
        <v>44.378025062249137</v>
      </c>
    </row>
    <row r="8" spans="6:12" x14ac:dyDescent="0.25">
      <c r="F8" s="1">
        <v>43466</v>
      </c>
      <c r="G8" s="9">
        <v>715.29381828606074</v>
      </c>
      <c r="H8" s="10">
        <v>1.058015183978948</v>
      </c>
      <c r="I8" s="9">
        <f>H8*G8</f>
        <v>756.7917207529307</v>
      </c>
      <c r="J8" s="11">
        <f t="shared" ref="J8:J12" si="0">I8-G8</f>
        <v>41.497902466869959</v>
      </c>
      <c r="L8">
        <v>41.497902466870357</v>
      </c>
    </row>
    <row r="9" spans="6:12" x14ac:dyDescent="0.25">
      <c r="F9" s="1">
        <v>43831</v>
      </c>
      <c r="G9" s="9">
        <v>676.60919012342549</v>
      </c>
      <c r="H9" s="10">
        <v>1.0698298064980707</v>
      </c>
      <c r="I9" s="9">
        <f t="shared" ref="I8:I12" si="1">H9*G9</f>
        <v>723.8566789445606</v>
      </c>
      <c r="J9" s="11">
        <f t="shared" si="0"/>
        <v>47.247488821135107</v>
      </c>
      <c r="L9">
        <v>47.247488821135377</v>
      </c>
    </row>
    <row r="10" spans="6:12" x14ac:dyDescent="0.25">
      <c r="F10" s="1">
        <v>44197</v>
      </c>
      <c r="G10" s="9">
        <v>709.39091300716689</v>
      </c>
      <c r="H10" s="10">
        <v>1.0854471227700973</v>
      </c>
      <c r="I10" s="9">
        <f t="shared" si="1"/>
        <v>770.00632544288169</v>
      </c>
      <c r="J10" s="11">
        <f t="shared" si="0"/>
        <v>60.615412435714802</v>
      </c>
      <c r="L10">
        <v>60.615412435715463</v>
      </c>
    </row>
    <row r="11" spans="6:12" x14ac:dyDescent="0.25">
      <c r="F11" s="1">
        <v>44562</v>
      </c>
      <c r="G11" s="9">
        <v>495.51085642410942</v>
      </c>
      <c r="H11" s="10">
        <v>1.1219467173038393</v>
      </c>
      <c r="I11" s="9">
        <f t="shared" si="1"/>
        <v>555.9367787534436</v>
      </c>
      <c r="J11" s="11">
        <f t="shared" si="0"/>
        <v>60.425922329334185</v>
      </c>
      <c r="L11">
        <v>60.425922329334348</v>
      </c>
    </row>
    <row r="12" spans="6:12" x14ac:dyDescent="0.25">
      <c r="F12" s="1">
        <v>44927</v>
      </c>
      <c r="G12" s="12">
        <v>358.323815174</v>
      </c>
      <c r="H12" s="13">
        <v>1.3401150008245963</v>
      </c>
      <c r="I12" s="12">
        <f t="shared" si="1"/>
        <v>480.19511986737751</v>
      </c>
      <c r="J12" s="14">
        <f t="shared" si="0"/>
        <v>121.87130469337751</v>
      </c>
      <c r="L12">
        <v>121.8713046933775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2026-01-27T19:28:30Z</dcterms:created>
  <dcterms:modified xsi:type="dcterms:W3CDTF">2026-02-08T17:50:42Z</dcterms:modified>
</cp:coreProperties>
</file>