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"/>
    </mc:Choice>
  </mc:AlternateContent>
  <xr:revisionPtr revIDLastSave="0" documentId="13_ncr:1_{80398A50-ADB5-4C1A-83A8-52CA64FE9D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" l="1"/>
  <c r="Q30" i="1" l="1"/>
  <c r="Q31" i="1" l="1"/>
  <c r="Q32" i="1"/>
  <c r="O31" i="1"/>
  <c r="O32" i="1"/>
  <c r="O30" i="1"/>
  <c r="E22" i="1"/>
  <c r="P31" i="1" s="1"/>
  <c r="E23" i="1"/>
  <c r="P32" i="1" s="1"/>
  <c r="E21" i="1"/>
  <c r="P30" i="1" s="1"/>
  <c r="O26" i="1" l="1"/>
  <c r="Q26" i="1" s="1"/>
  <c r="Q25" i="1"/>
  <c r="O27" i="1"/>
  <c r="Q27" i="1" s="1"/>
  <c r="R31" i="1"/>
  <c r="R30" i="1"/>
  <c r="R32" i="1"/>
</calcChain>
</file>

<file path=xl/sharedStrings.xml><?xml version="1.0" encoding="utf-8"?>
<sst xmlns="http://schemas.openxmlformats.org/spreadsheetml/2006/main" count="36" uniqueCount="21">
  <si>
    <t>RC daños a cosas_IFRS17</t>
  </si>
  <si>
    <t>RC lesiones 3º no transportados_IFRS17</t>
  </si>
  <si>
    <t>RC lesiones 3º transportados_IFRS17</t>
  </si>
  <si>
    <t>RC daños a cosas VP</t>
  </si>
  <si>
    <t>RC lesiones 3º no transportados VP</t>
  </si>
  <si>
    <t>RC lesiones 3º transportados VP</t>
  </si>
  <si>
    <t>RC daños a cosas_RGAA</t>
  </si>
  <si>
    <t>RC lesiones 3º no transportados_RGAA</t>
  </si>
  <si>
    <t>RC lesiones 3º transportados_RGAA</t>
  </si>
  <si>
    <t>Concepto</t>
  </si>
  <si>
    <t>Impacto de la tasa de descuento</t>
  </si>
  <si>
    <t>RC daños a cosas</t>
  </si>
  <si>
    <t>RC lesiones 3º no transportados</t>
  </si>
  <si>
    <t>RC lesiones 3º transportados</t>
  </si>
  <si>
    <t>Impacto del Ajuste de Riesgo No financiero</t>
  </si>
  <si>
    <t>Estimación de Siniestros</t>
  </si>
  <si>
    <t>Valor presente de pagos estimados</t>
  </si>
  <si>
    <t>Ajuste de Riesgo No Fin. (%)</t>
  </si>
  <si>
    <t>Valor presente de los flujos futuros</t>
  </si>
  <si>
    <t>Reserva por IBNR RGAA</t>
  </si>
  <si>
    <t>Reserva por IBNR IFRS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</si>
</sst>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7"/>
  <sheetViews>
    <sheetView showGridLines="0" tabSelected="1" topLeftCell="L20" zoomScale="115" zoomScaleNormal="115" workbookViewId="0">
      <selection activeCell="Q49" sqref="Q49"/>
    </sheetView>
  </sheetViews>
  <sheetFormatPr defaultRowHeight="15" x14ac:dyDescent="0.25"/>
  <cols>
    <col min="2" max="2" width="36.5703125" bestFit="1" customWidth="1"/>
    <col min="3" max="3" width="22.85546875" bestFit="1" customWidth="1"/>
    <col min="4" max="4" width="32.7109375" bestFit="1" customWidth="1"/>
    <col min="5" max="5" width="30" bestFit="1" customWidth="1"/>
    <col min="6" max="6" width="20.5703125" bestFit="1" customWidth="1"/>
    <col min="7" max="7" width="28" bestFit="1" customWidth="1"/>
    <col min="8" max="8" width="34.28515625" bestFit="1" customWidth="1"/>
    <col min="9" max="9" width="30" bestFit="1" customWidth="1"/>
    <col min="14" max="14" width="29.7109375" bestFit="1" customWidth="1"/>
    <col min="15" max="15" width="32.85546875" bestFit="1" customWidth="1"/>
    <col min="16" max="16" width="30.140625" bestFit="1" customWidth="1"/>
    <col min="17" max="17" width="40" bestFit="1" customWidth="1"/>
    <col min="18" max="18" width="24.140625" bestFit="1" customWidth="1"/>
  </cols>
  <sheetData>
    <row r="1" spans="2:3" x14ac:dyDescent="0.25">
      <c r="C1" s="1">
        <v>0</v>
      </c>
    </row>
    <row r="2" spans="2:3" x14ac:dyDescent="0.25">
      <c r="B2" s="1" t="s">
        <v>0</v>
      </c>
      <c r="C2">
        <v>262.6662462180185</v>
      </c>
    </row>
    <row r="3" spans="2:3" x14ac:dyDescent="0.25">
      <c r="B3" s="1" t="s">
        <v>1</v>
      </c>
      <c r="C3">
        <v>1268.465199104774</v>
      </c>
    </row>
    <row r="4" spans="2:3" x14ac:dyDescent="0.25">
      <c r="B4" s="1" t="s">
        <v>2</v>
      </c>
      <c r="C4">
        <v>92.838994924973164</v>
      </c>
    </row>
    <row r="5" spans="2:3" x14ac:dyDescent="0.25">
      <c r="B5" s="1" t="s">
        <v>3</v>
      </c>
      <c r="C5">
        <v>260.59927012577577</v>
      </c>
    </row>
    <row r="6" spans="2:3" x14ac:dyDescent="0.25">
      <c r="B6" s="1" t="s">
        <v>4</v>
      </c>
      <c r="C6">
        <v>1090.52243676272</v>
      </c>
    </row>
    <row r="7" spans="2:3" x14ac:dyDescent="0.25">
      <c r="B7" s="1" t="s">
        <v>5</v>
      </c>
      <c r="C7">
        <v>76.628332711201551</v>
      </c>
    </row>
    <row r="8" spans="2:3" x14ac:dyDescent="0.25">
      <c r="B8" s="1" t="s">
        <v>6</v>
      </c>
      <c r="C8">
        <v>376.03605580868219</v>
      </c>
    </row>
    <row r="9" spans="2:3" x14ac:dyDescent="0.25">
      <c r="B9" s="1" t="s">
        <v>7</v>
      </c>
      <c r="C9">
        <v>662.85366922437549</v>
      </c>
    </row>
    <row r="10" spans="2:3" x14ac:dyDescent="0.25">
      <c r="B10" s="1" t="s">
        <v>8</v>
      </c>
      <c r="C10">
        <v>42.519024501616528</v>
      </c>
    </row>
    <row r="20" spans="2:18" x14ac:dyDescent="0.25">
      <c r="B20" s="1" t="s">
        <v>9</v>
      </c>
      <c r="C20" s="1" t="s">
        <v>15</v>
      </c>
      <c r="D20" s="1" t="s">
        <v>16</v>
      </c>
      <c r="E20" s="1" t="s">
        <v>10</v>
      </c>
    </row>
    <row r="21" spans="2:18" x14ac:dyDescent="0.25">
      <c r="B21" s="1" t="s">
        <v>11</v>
      </c>
      <c r="C21" s="3">
        <v>262.6662462180185</v>
      </c>
      <c r="D21" s="3">
        <v>260.59927012577577</v>
      </c>
      <c r="E21" s="3">
        <f>D21-C21</f>
        <v>-2.0669760922427258</v>
      </c>
    </row>
    <row r="22" spans="2:18" x14ac:dyDescent="0.25">
      <c r="B22" s="2" t="s">
        <v>12</v>
      </c>
      <c r="C22" s="3">
        <v>1268.465199104774</v>
      </c>
      <c r="D22" s="3">
        <v>1090.52243676272</v>
      </c>
      <c r="E22" s="3">
        <f>D22-C22</f>
        <v>-177.94276234205404</v>
      </c>
    </row>
    <row r="23" spans="2:18" x14ac:dyDescent="0.25">
      <c r="B23" s="1" t="s">
        <v>13</v>
      </c>
      <c r="C23" s="3">
        <v>92.838994924973164</v>
      </c>
      <c r="D23" s="3">
        <v>76.628332711201551</v>
      </c>
      <c r="E23" s="3">
        <f>D23-C23</f>
        <v>-16.210662213771613</v>
      </c>
    </row>
    <row r="24" spans="2:18" x14ac:dyDescent="0.25">
      <c r="N24" s="1" t="s">
        <v>9</v>
      </c>
      <c r="O24" s="1" t="s">
        <v>18</v>
      </c>
      <c r="P24" s="1" t="s">
        <v>17</v>
      </c>
      <c r="Q24" s="1" t="s">
        <v>14</v>
      </c>
    </row>
    <row r="25" spans="2:18" x14ac:dyDescent="0.25">
      <c r="N25" s="1" t="s">
        <v>11</v>
      </c>
      <c r="O25" s="3">
        <f>SUM(O30:P30)</f>
        <v>260.59927012577577</v>
      </c>
      <c r="P25" s="4">
        <v>0.42475268932774846</v>
      </c>
      <c r="Q25" s="3">
        <f>P25*O25</f>
        <v>110.69024082277164</v>
      </c>
    </row>
    <row r="26" spans="2:18" x14ac:dyDescent="0.25">
      <c r="N26" s="1" t="s">
        <v>12</v>
      </c>
      <c r="O26" s="3">
        <f>SUM(O31:P31)</f>
        <v>1090.52243676272</v>
      </c>
      <c r="P26" s="4">
        <v>0.17137788792876438</v>
      </c>
      <c r="Q26" s="3">
        <f t="shared" ref="Q26:Q27" si="0">P26*O26</f>
        <v>186.89143195132445</v>
      </c>
    </row>
    <row r="27" spans="2:18" x14ac:dyDescent="0.25">
      <c r="N27" s="1" t="s">
        <v>13</v>
      </c>
      <c r="O27" s="3">
        <f>SUM(O32:P32)</f>
        <v>76.628332711201551</v>
      </c>
      <c r="P27" s="4">
        <v>0.27966835118383288</v>
      </c>
      <c r="Q27" s="3">
        <f t="shared" si="0"/>
        <v>21.430519463307903</v>
      </c>
    </row>
    <row r="29" spans="2:18" x14ac:dyDescent="0.25">
      <c r="N29" s="1" t="s">
        <v>9</v>
      </c>
      <c r="O29" s="1" t="s">
        <v>15</v>
      </c>
      <c r="P29" s="1" t="s">
        <v>10</v>
      </c>
      <c r="Q29" s="1" t="s">
        <v>14</v>
      </c>
      <c r="R29" s="1" t="s">
        <v>20</v>
      </c>
    </row>
    <row r="30" spans="2:18" x14ac:dyDescent="0.25">
      <c r="N30" s="1" t="s">
        <v>11</v>
      </c>
      <c r="O30" s="3">
        <f>C21</f>
        <v>262.6662462180185</v>
      </c>
      <c r="P30" s="3">
        <f>E21</f>
        <v>-2.0669760922427258</v>
      </c>
      <c r="Q30" s="3">
        <f>D21*$P$25</f>
        <v>110.69024082277164</v>
      </c>
      <c r="R30" s="3">
        <f>SUM(O30:Q30)</f>
        <v>371.28951094854744</v>
      </c>
    </row>
    <row r="31" spans="2:18" x14ac:dyDescent="0.25">
      <c r="N31" s="2" t="s">
        <v>12</v>
      </c>
      <c r="O31" s="3">
        <f>C22</f>
        <v>1268.465199104774</v>
      </c>
      <c r="P31" s="3">
        <f>E22</f>
        <v>-177.94276234205404</v>
      </c>
      <c r="Q31" s="3">
        <f>D22*$P$26</f>
        <v>186.89143195132445</v>
      </c>
      <c r="R31" s="3">
        <f>SUM(O31:Q31)</f>
        <v>1277.4138687140444</v>
      </c>
    </row>
    <row r="32" spans="2:18" x14ac:dyDescent="0.25">
      <c r="N32" s="1" t="s">
        <v>13</v>
      </c>
      <c r="O32" s="3">
        <f>C23</f>
        <v>92.838994924973164</v>
      </c>
      <c r="P32" s="3">
        <f>E23</f>
        <v>-16.210662213771613</v>
      </c>
      <c r="Q32" s="3">
        <f>D23*$P$27</f>
        <v>21.430519463307903</v>
      </c>
      <c r="R32" s="3">
        <f>SUM(O32:Q32)</f>
        <v>98.058852174509454</v>
      </c>
    </row>
    <row r="34" spans="14:17" x14ac:dyDescent="0.25">
      <c r="N34" s="1" t="s">
        <v>9</v>
      </c>
      <c r="O34" s="1" t="s">
        <v>19</v>
      </c>
    </row>
    <row r="35" spans="14:17" x14ac:dyDescent="0.25">
      <c r="N35" s="1" t="s">
        <v>11</v>
      </c>
      <c r="O35" s="3">
        <v>376.03605580868219</v>
      </c>
      <c r="P35">
        <v>376.03605580868219</v>
      </c>
      <c r="Q35">
        <v>538.57073568454507</v>
      </c>
    </row>
    <row r="36" spans="14:17" x14ac:dyDescent="0.25">
      <c r="N36" s="2" t="s">
        <v>12</v>
      </c>
      <c r="O36" s="3">
        <v>662.85366922437549</v>
      </c>
      <c r="P36">
        <v>662.85366922437549</v>
      </c>
      <c r="Q36">
        <v>1053.0508897497571</v>
      </c>
    </row>
    <row r="37" spans="14:17" x14ac:dyDescent="0.25">
      <c r="N37" s="1" t="s">
        <v>13</v>
      </c>
      <c r="O37" s="3">
        <v>42.519024501616535</v>
      </c>
      <c r="P37">
        <v>42.519024501616535</v>
      </c>
      <c r="Q37">
        <v>67.752971946354407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2026-01-31T22:56:10Z</dcterms:created>
  <dcterms:modified xsi:type="dcterms:W3CDTF">2026-02-08T19:19:20Z</dcterms:modified>
</cp:coreProperties>
</file>