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cumentos\Python_script\Github\IBNR-NIIF-17\Resultados\"/>
    </mc:Choice>
  </mc:AlternateContent>
  <xr:revisionPtr revIDLastSave="0" documentId="13_ncr:1_{DB8AD52F-1908-451E-8B57-BABC9380A16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2" i="1" l="1"/>
  <c r="P30" i="1"/>
  <c r="P31" i="1"/>
  <c r="Q31" i="1"/>
  <c r="O31" i="1"/>
  <c r="O32" i="1"/>
  <c r="O30" i="1"/>
  <c r="N31" i="1"/>
  <c r="N32" i="1"/>
  <c r="N30" i="1"/>
  <c r="Q32" i="1"/>
  <c r="Q30" i="1"/>
  <c r="D22" i="1"/>
  <c r="D23" i="1"/>
  <c r="D21" i="1"/>
</calcChain>
</file>

<file path=xl/sharedStrings.xml><?xml version="1.0" encoding="utf-8"?>
<sst xmlns="http://schemas.openxmlformats.org/spreadsheetml/2006/main" count="27" uniqueCount="18">
  <si>
    <t>RC daños a cosas_IFRS17</t>
  </si>
  <si>
    <t>RC lesiones 3º no transportados_IFRS17</t>
  </si>
  <si>
    <t>RC lesiones 3º transportados_IFRS17</t>
  </si>
  <si>
    <t>RC daños a cosas VP</t>
  </si>
  <si>
    <t>RC lesiones 3º no transportados VP</t>
  </si>
  <si>
    <t>RC lesiones 3º transportados VP</t>
  </si>
  <si>
    <t>RC daños a cosas_RGAA</t>
  </si>
  <si>
    <t>RC lesiones 3º no transportados_RGAA</t>
  </si>
  <si>
    <t>RC lesiones 3º transportados_RGAA</t>
  </si>
  <si>
    <t>Concepto</t>
  </si>
  <si>
    <t>Estimación de pasivos</t>
  </si>
  <si>
    <t>Valor presente de pasivos estimados</t>
  </si>
  <si>
    <t>Impacto de la tasa de descuento</t>
  </si>
  <si>
    <t>RC daños a cosas</t>
  </si>
  <si>
    <t>RC lesiones 3º no transportados</t>
  </si>
  <si>
    <t>RC lesiones 3º transportados</t>
  </si>
  <si>
    <t>Impacto del Ajuste de Riesgo No financiero</t>
  </si>
  <si>
    <t>Reserva por IFRS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</si>
</sst>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2"/>
  <sheetViews>
    <sheetView showGridLines="0" tabSelected="1" topLeftCell="G7" workbookViewId="0">
      <selection activeCell="R18" sqref="R18"/>
    </sheetView>
  </sheetViews>
  <sheetFormatPr defaultRowHeight="15" x14ac:dyDescent="0.25"/>
  <cols>
    <col min="1" max="1" width="36.5703125" bestFit="1" customWidth="1"/>
    <col min="2" max="2" width="20.5703125" bestFit="1" customWidth="1"/>
    <col min="3" max="3" width="34.28515625" bestFit="1" customWidth="1"/>
    <col min="4" max="4" width="29.7109375" bestFit="1" customWidth="1"/>
    <col min="5" max="6" width="20.5703125" bestFit="1" customWidth="1"/>
    <col min="7" max="7" width="34.28515625" bestFit="1" customWidth="1"/>
    <col min="8" max="8" width="30" bestFit="1" customWidth="1"/>
    <col min="13" max="13" width="29.7109375" bestFit="1" customWidth="1"/>
    <col min="14" max="14" width="20.5703125" bestFit="1" customWidth="1"/>
    <col min="15" max="15" width="30" bestFit="1" customWidth="1"/>
    <col min="16" max="16" width="40" bestFit="1" customWidth="1"/>
    <col min="17" max="17" width="18.28515625" bestFit="1" customWidth="1"/>
  </cols>
  <sheetData>
    <row r="1" spans="1:7" x14ac:dyDescent="0.25">
      <c r="B1" s="1">
        <v>0</v>
      </c>
    </row>
    <row r="2" spans="1:7" x14ac:dyDescent="0.25">
      <c r="A2" s="1" t="s">
        <v>0</v>
      </c>
      <c r="B2">
        <v>434.22568943619632</v>
      </c>
    </row>
    <row r="3" spans="1:7" x14ac:dyDescent="0.25">
      <c r="A3" s="1" t="s">
        <v>1</v>
      </c>
      <c r="B3">
        <v>2266.9195792784271</v>
      </c>
    </row>
    <row r="4" spans="1:7" x14ac:dyDescent="0.25">
      <c r="A4" s="1" t="s">
        <v>2</v>
      </c>
      <c r="B4">
        <v>169.95478140006361</v>
      </c>
    </row>
    <row r="5" spans="1:7" x14ac:dyDescent="0.25">
      <c r="A5" s="1" t="s">
        <v>3</v>
      </c>
      <c r="B5">
        <v>422.74160762946559</v>
      </c>
    </row>
    <row r="6" spans="1:7" x14ac:dyDescent="0.25">
      <c r="A6" s="1" t="s">
        <v>4</v>
      </c>
      <c r="B6">
        <v>1879.796491475937</v>
      </c>
    </row>
    <row r="7" spans="1:7" x14ac:dyDescent="0.25">
      <c r="A7" s="1" t="s">
        <v>5</v>
      </c>
      <c r="B7">
        <v>134.39373579897079</v>
      </c>
    </row>
    <row r="8" spans="1:7" x14ac:dyDescent="0.25">
      <c r="A8" s="1" t="s">
        <v>6</v>
      </c>
      <c r="B8">
        <v>538.57073568454507</v>
      </c>
    </row>
    <row r="9" spans="1:7" x14ac:dyDescent="0.25">
      <c r="A9" s="1" t="s">
        <v>7</v>
      </c>
      <c r="B9">
        <v>1053.0508897497571</v>
      </c>
    </row>
    <row r="10" spans="1:7" x14ac:dyDescent="0.25">
      <c r="A10" s="1" t="s">
        <v>8</v>
      </c>
      <c r="B10">
        <v>67.752971946354407</v>
      </c>
      <c r="F10" s="1" t="s">
        <v>13</v>
      </c>
      <c r="G10" s="4">
        <v>0.18894094996618813</v>
      </c>
    </row>
    <row r="11" spans="1:7" x14ac:dyDescent="0.25">
      <c r="F11" s="1" t="s">
        <v>14</v>
      </c>
      <c r="G11" s="4">
        <v>7.5772818457541719E-2</v>
      </c>
    </row>
    <row r="12" spans="1:7" x14ac:dyDescent="0.25">
      <c r="F12" s="1" t="s">
        <v>15</v>
      </c>
      <c r="G12" s="4">
        <v>0.14198961306852798</v>
      </c>
    </row>
    <row r="20" spans="1:17" x14ac:dyDescent="0.25">
      <c r="A20" s="1" t="s">
        <v>9</v>
      </c>
      <c r="B20" s="1" t="s">
        <v>10</v>
      </c>
      <c r="C20" s="1" t="s">
        <v>11</v>
      </c>
      <c r="D20" s="1" t="s">
        <v>12</v>
      </c>
    </row>
    <row r="21" spans="1:17" x14ac:dyDescent="0.25">
      <c r="A21" s="1" t="s">
        <v>13</v>
      </c>
      <c r="B21" s="3">
        <v>434.22568943619632</v>
      </c>
      <c r="C21" s="3">
        <v>422.74160762946559</v>
      </c>
      <c r="D21" s="3">
        <f>C21-B21</f>
        <v>-11.484081806730728</v>
      </c>
    </row>
    <row r="22" spans="1:17" x14ac:dyDescent="0.25">
      <c r="A22" s="2" t="s">
        <v>14</v>
      </c>
      <c r="B22" s="3">
        <v>2266.9195792784271</v>
      </c>
      <c r="C22" s="3">
        <v>1879.796491475937</v>
      </c>
      <c r="D22" s="3">
        <f>C22-B22</f>
        <v>-387.12308780249009</v>
      </c>
    </row>
    <row r="23" spans="1:17" x14ac:dyDescent="0.25">
      <c r="A23" s="1" t="s">
        <v>15</v>
      </c>
      <c r="B23" s="3">
        <v>169.95478140006361</v>
      </c>
      <c r="C23" s="3">
        <v>134.39373579897079</v>
      </c>
      <c r="D23" s="3">
        <f>C23-B23</f>
        <v>-35.561045601092815</v>
      </c>
    </row>
    <row r="29" spans="1:17" x14ac:dyDescent="0.25">
      <c r="M29" s="1" t="s">
        <v>9</v>
      </c>
      <c r="N29" s="1" t="s">
        <v>10</v>
      </c>
      <c r="O29" s="1" t="s">
        <v>12</v>
      </c>
      <c r="P29" s="1" t="s">
        <v>16</v>
      </c>
      <c r="Q29" s="1" t="s">
        <v>17</v>
      </c>
    </row>
    <row r="30" spans="1:17" x14ac:dyDescent="0.25">
      <c r="M30" s="1" t="s">
        <v>13</v>
      </c>
      <c r="N30" s="3">
        <f>B21</f>
        <v>434.22568943619632</v>
      </c>
      <c r="O30" s="3">
        <f>D21</f>
        <v>-11.484081806730728</v>
      </c>
      <c r="P30" s="3">
        <f>C21*$G$10</f>
        <v>79.873200935744791</v>
      </c>
      <c r="Q30" s="3">
        <f>SUM(N30:P30)</f>
        <v>502.61480856521041</v>
      </c>
    </row>
    <row r="31" spans="1:17" x14ac:dyDescent="0.25">
      <c r="M31" s="2" t="s">
        <v>14</v>
      </c>
      <c r="N31" s="3">
        <f>B22</f>
        <v>2266.9195792784271</v>
      </c>
      <c r="O31" s="3">
        <f>D22</f>
        <v>-387.12308780249009</v>
      </c>
      <c r="P31" s="3">
        <f>C22*$G$11</f>
        <v>142.43747828573004</v>
      </c>
      <c r="Q31" s="3">
        <f t="shared" ref="Q31:Q32" si="0">SUM(N31:P31)</f>
        <v>2022.2339697616671</v>
      </c>
    </row>
    <row r="32" spans="1:17" x14ac:dyDescent="0.25">
      <c r="M32" s="1" t="s">
        <v>15</v>
      </c>
      <c r="N32" s="3">
        <f>B23</f>
        <v>169.95478140006361</v>
      </c>
      <c r="O32" s="3">
        <f>D23</f>
        <v>-35.561045601092815</v>
      </c>
      <c r="P32" s="3">
        <f>C23*$G$12</f>
        <v>19.08251454492984</v>
      </c>
      <c r="Q32" s="3">
        <f t="shared" si="0"/>
        <v>153.47625034390063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2026-01-31T22:56:10Z</dcterms:created>
  <dcterms:modified xsi:type="dcterms:W3CDTF">2026-02-01T19:56:00Z</dcterms:modified>
</cp:coreProperties>
</file>