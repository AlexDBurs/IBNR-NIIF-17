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bin\"/>
    </mc:Choice>
  </mc:AlternateContent>
  <xr:revisionPtr revIDLastSave="0" documentId="13_ncr:1_{A7DC1DB3-B283-455A-B12E-6935259A9D51}" xr6:coauthVersionLast="47" xr6:coauthVersionMax="47" xr10:uidLastSave="{00000000-0000-0000-0000-000000000000}"/>
  <bookViews>
    <workbookView xWindow="-96" yWindow="0" windowWidth="11712" windowHeight="12336" xr2:uid="{A73F7BBB-CAB7-4C9E-9898-0D8223564A15}"/>
  </bookViews>
  <sheets>
    <sheet name="Hoja 1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<sst xmlns="http://schemas.openxmlformats.org/spreadsheetml/2006/main" count="167" uniqueCount="38">
  <si>
    <t>Sección</t>
  </si>
  <si>
    <t>Descripción</t>
  </si>
  <si>
    <t>Amortización/Plazo</t>
  </si>
  <si>
    <t>Frecuencia</t>
  </si>
  <si>
    <t>Próx. Venc.</t>
  </si>
  <si>
    <t>VR</t>
  </si>
  <si>
    <t>Cotización</t>
  </si>
  <si>
    <t>Fecha cot.</t>
  </si>
  <si>
    <t>Paridad</t>
  </si>
  <si>
    <t>TIR sin ECL</t>
  </si>
  <si>
    <t>Bonos PAR</t>
  </si>
  <si>
    <t>PAR $ Ley Arg.</t>
  </si>
  <si>
    <t>PARP</t>
  </si>
  <si>
    <t>Bonos Discount</t>
  </si>
  <si>
    <t>DISC $ Ley Arg.</t>
  </si>
  <si>
    <t>DICP</t>
  </si>
  <si>
    <t>Bonos CUASIPAR</t>
  </si>
  <si>
    <t>CUASIPAR en $</t>
  </si>
  <si>
    <t>CUAP</t>
  </si>
  <si>
    <t>CER cupón cero</t>
  </si>
  <si>
    <t>BONO TES. NAC. $ CER</t>
  </si>
  <si>
    <t>TZX25</t>
  </si>
  <si>
    <t>Al vto.</t>
  </si>
  <si>
    <t>-</t>
  </si>
  <si>
    <t>TZX26</t>
  </si>
  <si>
    <t>TZX27</t>
  </si>
  <si>
    <t>TZX28</t>
  </si>
  <si>
    <t>TZXD5</t>
  </si>
  <si>
    <t>TZXD6</t>
  </si>
  <si>
    <t>TZXD7</t>
  </si>
  <si>
    <t>Ticker</t>
  </si>
  <si>
    <t>Settelment</t>
  </si>
  <si>
    <t>Dirty Price</t>
  </si>
  <si>
    <t>Day Count</t>
  </si>
  <si>
    <t>Time to Payment</t>
  </si>
  <si>
    <t>Payment Day</t>
  </si>
  <si>
    <t>Stochastic Credit Risk Free Cashflow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</si>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</sst>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15" fontId="0" fillId="3" borderId="4" xfId="0" applyNumberFormat="1" applyFill="1" applyBorder="1"/>
    <xf numFmtId="10" fontId="0" fillId="3" borderId="4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15" fontId="0" fillId="4" borderId="4" xfId="0" applyNumberFormat="1" applyFill="1" applyBorder="1"/>
    <xf numFmtId="10" fontId="0" fillId="4" borderId="4" xfId="0" applyNumberFormat="1" applyFill="1" applyBorder="1"/>
    <xf numFmtId="164" fontId="0" fillId="4" borderId="4" xfId="0" applyNumberFormat="1" applyFill="1" applyBorder="1"/>
    <xf numFmtId="0" fontId="2" fillId="0" borderId="5" xfId="0" applyFont="1" applyBorder="1" applyAlignment="1">
      <alignment horizontal="center" vertical="top"/>
    </xf>
    <xf numFmtId="165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3706-5D91-4999-A2F6-30A4556D9603}">
  <dimension ref="A1:N11"/>
  <sheetViews>
    <sheetView tabSelected="1" workbookViewId="0">
      <selection activeCell="E9" sqref="E9"/>
    </sheetView>
  </sheetViews>
  <sheetFormatPr defaultRowHeight="14.4" x14ac:dyDescent="0.3"/>
  <cols>
    <col min="1" max="1" width="14.88671875" customWidth="1"/>
    <col min="2" max="2" width="19.88671875" bestFit="1" customWidth="1"/>
    <col min="4" max="4" width="9.6640625" bestFit="1" customWidth="1"/>
    <col min="5" max="5" width="21.77734375" customWidth="1"/>
    <col min="6" max="6" width="8.5546875" bestFit="1" customWidth="1"/>
    <col min="7" max="7" width="9.6640625" customWidth="1"/>
    <col min="8" max="12" width="8.88671875" customWidth="1"/>
  </cols>
  <sheetData>
    <row r="1" spans="1:14" ht="29.4" thickBot="1" x14ac:dyDescent="0.35">
      <c r="A1" s="1" t="s">
        <v>0</v>
      </c>
      <c r="B1" s="2" t="s">
        <v>1</v>
      </c>
      <c r="C1" s="2" t="s">
        <v>30</v>
      </c>
      <c r="D1" s="2" t="s">
        <v>31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32</v>
      </c>
      <c r="L1" s="2" t="s">
        <v>8</v>
      </c>
      <c r="M1" s="2" t="s">
        <v>9</v>
      </c>
      <c r="N1" s="15" t="s">
        <v>33</v>
      </c>
    </row>
    <row r="2" spans="1:14" ht="15" thickTop="1" x14ac:dyDescent="0.3">
      <c r="A2" s="3" t="s">
        <v>10</v>
      </c>
      <c r="B2" s="4" t="s">
        <v>11</v>
      </c>
      <c r="C2" s="4" t="s">
        <v>12</v>
      </c>
      <c r="D2" s="5">
        <v>50770</v>
      </c>
      <c r="E2" s="4" t="s">
        <v>37</v>
      </c>
      <c r="F2" s="4" t="s">
        <v>37</v>
      </c>
      <c r="G2" s="5">
        <v>45565</v>
      </c>
      <c r="H2" s="4">
        <v>100</v>
      </c>
      <c r="I2" s="4">
        <v>16340</v>
      </c>
      <c r="J2" s="5">
        <v>45471</v>
      </c>
      <c r="K2" s="4">
        <v>27924.13</v>
      </c>
      <c r="L2" s="6">
        <v>0.58520000000000005</v>
      </c>
      <c r="M2" s="7">
        <v>6.6996882730528617E-2</v>
      </c>
      <c r="N2">
        <f>D2-J2</f>
        <v>5299</v>
      </c>
    </row>
    <row r="3" spans="1:14" x14ac:dyDescent="0.3">
      <c r="A3" s="8" t="s">
        <v>13</v>
      </c>
      <c r="B3" s="9" t="s">
        <v>14</v>
      </c>
      <c r="C3" s="9" t="s">
        <v>15</v>
      </c>
      <c r="D3" s="10">
        <v>48944</v>
      </c>
      <c r="E3" s="4" t="s">
        <v>37</v>
      </c>
      <c r="F3" s="4" t="s">
        <v>37</v>
      </c>
      <c r="G3" s="10">
        <v>45657</v>
      </c>
      <c r="H3" s="9">
        <v>95</v>
      </c>
      <c r="I3" s="9">
        <v>31250</v>
      </c>
      <c r="J3" s="10">
        <v>45471</v>
      </c>
      <c r="K3" s="9">
        <v>33544.160000000003</v>
      </c>
      <c r="L3" s="11">
        <v>0.93159999999999998</v>
      </c>
      <c r="M3" s="12">
        <v>9.5447733191835298E-3</v>
      </c>
      <c r="N3">
        <f>D3-J3</f>
        <v>3473</v>
      </c>
    </row>
    <row r="4" spans="1:14" x14ac:dyDescent="0.3">
      <c r="A4" s="3" t="s">
        <v>16</v>
      </c>
      <c r="B4" s="4" t="s">
        <v>17</v>
      </c>
      <c r="C4" s="4" t="s">
        <v>18</v>
      </c>
      <c r="D4" s="5">
        <v>53327</v>
      </c>
      <c r="E4" s="4" t="s">
        <v>37</v>
      </c>
      <c r="F4" s="4" t="s">
        <v>37</v>
      </c>
      <c r="G4" s="5">
        <v>45657</v>
      </c>
      <c r="H4" s="4">
        <v>100</v>
      </c>
      <c r="I4" s="4">
        <v>20230</v>
      </c>
      <c r="J4" s="5">
        <v>45471</v>
      </c>
      <c r="K4" s="4">
        <v>38606.080000000002</v>
      </c>
      <c r="L4" s="6">
        <v>0.52400000000000002</v>
      </c>
      <c r="M4" s="7">
        <v>5.24930618608049E-2</v>
      </c>
      <c r="N4">
        <f>D4-J4</f>
        <v>7856</v>
      </c>
    </row>
    <row r="5" spans="1:14" x14ac:dyDescent="0.3">
      <c r="A5" s="8" t="s">
        <v>19</v>
      </c>
      <c r="B5" s="9" t="s">
        <v>20</v>
      </c>
      <c r="C5" s="9" t="s">
        <v>21</v>
      </c>
      <c r="D5" s="10">
        <v>45838</v>
      </c>
      <c r="E5" s="9" t="s">
        <v>22</v>
      </c>
      <c r="F5" s="9" t="s">
        <v>23</v>
      </c>
      <c r="G5" s="10">
        <v>45838</v>
      </c>
      <c r="H5" s="9">
        <v>100</v>
      </c>
      <c r="I5" s="9">
        <v>158.69999999999999</v>
      </c>
      <c r="J5" s="10">
        <v>45471</v>
      </c>
      <c r="K5" s="9">
        <v>100</v>
      </c>
      <c r="L5" s="11">
        <v>1.587</v>
      </c>
      <c r="M5" s="12">
        <v>-0.1128680621204154</v>
      </c>
      <c r="N5">
        <f>D5-J5</f>
        <v>367</v>
      </c>
    </row>
    <row r="6" spans="1:14" x14ac:dyDescent="0.3">
      <c r="A6" s="3" t="s">
        <v>19</v>
      </c>
      <c r="B6" s="4" t="s">
        <v>20</v>
      </c>
      <c r="C6" s="4" t="s">
        <v>24</v>
      </c>
      <c r="D6" s="5">
        <v>46203</v>
      </c>
      <c r="E6" s="4" t="s">
        <v>22</v>
      </c>
      <c r="F6" s="4" t="s">
        <v>23</v>
      </c>
      <c r="G6" s="5">
        <v>46203</v>
      </c>
      <c r="H6" s="4">
        <v>100</v>
      </c>
      <c r="I6" s="4">
        <v>181.75</v>
      </c>
      <c r="J6" s="5">
        <v>45471</v>
      </c>
      <c r="K6" s="4">
        <v>100</v>
      </c>
      <c r="L6" s="6">
        <v>1.8174999999999999</v>
      </c>
      <c r="M6" s="7">
        <v>-6.1065030510503382E-2</v>
      </c>
      <c r="N6">
        <f>D6-J6</f>
        <v>732</v>
      </c>
    </row>
    <row r="7" spans="1:14" x14ac:dyDescent="0.3">
      <c r="A7" s="8" t="s">
        <v>19</v>
      </c>
      <c r="B7" s="9" t="s">
        <v>20</v>
      </c>
      <c r="C7" s="9" t="s">
        <v>25</v>
      </c>
      <c r="D7" s="10">
        <v>46568</v>
      </c>
      <c r="E7" s="9" t="s">
        <v>22</v>
      </c>
      <c r="F7" s="9" t="s">
        <v>23</v>
      </c>
      <c r="G7" s="10">
        <v>46568</v>
      </c>
      <c r="H7" s="9">
        <v>100</v>
      </c>
      <c r="I7" s="9">
        <v>170</v>
      </c>
      <c r="J7" s="10">
        <v>45471</v>
      </c>
      <c r="K7" s="9">
        <v>100</v>
      </c>
      <c r="L7" s="11">
        <v>1.7</v>
      </c>
      <c r="M7" s="12">
        <v>-1.9956101311708219E-2</v>
      </c>
      <c r="N7">
        <f>D7-J7</f>
        <v>1097</v>
      </c>
    </row>
    <row r="8" spans="1:14" x14ac:dyDescent="0.3">
      <c r="A8" s="3" t="s">
        <v>19</v>
      </c>
      <c r="B8" s="4" t="s">
        <v>20</v>
      </c>
      <c r="C8" s="4" t="s">
        <v>26</v>
      </c>
      <c r="D8" s="5">
        <v>46934</v>
      </c>
      <c r="E8" s="4" t="s">
        <v>22</v>
      </c>
      <c r="F8" s="4" t="s">
        <v>23</v>
      </c>
      <c r="G8" s="5">
        <v>46934</v>
      </c>
      <c r="H8" s="4">
        <v>100</v>
      </c>
      <c r="I8" s="4">
        <v>148</v>
      </c>
      <c r="J8" s="5">
        <v>45471</v>
      </c>
      <c r="K8" s="4">
        <v>201.87</v>
      </c>
      <c r="L8" s="6">
        <v>0.73319999999999996</v>
      </c>
      <c r="M8" s="7">
        <v>1.8022380829635139E-2</v>
      </c>
      <c r="N8">
        <f>D8-J8</f>
        <v>1463</v>
      </c>
    </row>
    <row r="9" spans="1:14" x14ac:dyDescent="0.3">
      <c r="A9" s="8" t="s">
        <v>19</v>
      </c>
      <c r="B9" s="9" t="s">
        <v>20</v>
      </c>
      <c r="C9" s="9" t="s">
        <v>27</v>
      </c>
      <c r="D9" s="10">
        <v>46006</v>
      </c>
      <c r="E9" s="9" t="s">
        <v>22</v>
      </c>
      <c r="F9" s="9" t="s">
        <v>23</v>
      </c>
      <c r="G9" s="10">
        <v>46006</v>
      </c>
      <c r="H9" s="9">
        <v>100</v>
      </c>
      <c r="I9" s="9">
        <v>136.75</v>
      </c>
      <c r="J9" s="10">
        <v>45471</v>
      </c>
      <c r="K9" s="9">
        <v>150.06</v>
      </c>
      <c r="L9" s="11">
        <v>0.9113</v>
      </c>
      <c r="M9" s="12">
        <v>-7.8124402058578957E-2</v>
      </c>
      <c r="N9">
        <f>D9-J9</f>
        <v>535</v>
      </c>
    </row>
    <row r="10" spans="1:14" x14ac:dyDescent="0.3">
      <c r="A10" s="3" t="s">
        <v>19</v>
      </c>
      <c r="B10" s="4" t="s">
        <v>20</v>
      </c>
      <c r="C10" s="4" t="s">
        <v>28</v>
      </c>
      <c r="D10" s="5">
        <v>46371</v>
      </c>
      <c r="E10" s="4" t="s">
        <v>22</v>
      </c>
      <c r="F10" s="4" t="s">
        <v>23</v>
      </c>
      <c r="G10" s="5">
        <v>46371</v>
      </c>
      <c r="H10" s="4">
        <v>100</v>
      </c>
      <c r="I10" s="4">
        <v>128</v>
      </c>
      <c r="J10" s="5">
        <v>45471</v>
      </c>
      <c r="K10" s="4">
        <v>149.24</v>
      </c>
      <c r="L10" s="6">
        <v>0.85770000000000002</v>
      </c>
      <c r="M10" s="7">
        <v>-3.6358616677768962E-2</v>
      </c>
      <c r="N10">
        <f>D10-J10</f>
        <v>900</v>
      </c>
    </row>
    <row r="11" spans="1:14" x14ac:dyDescent="0.3">
      <c r="A11" s="8" t="s">
        <v>19</v>
      </c>
      <c r="B11" s="9" t="s">
        <v>20</v>
      </c>
      <c r="C11" s="9" t="s">
        <v>29</v>
      </c>
      <c r="D11" s="10">
        <v>46736</v>
      </c>
      <c r="E11" s="9" t="s">
        <v>22</v>
      </c>
      <c r="F11" s="9" t="s">
        <v>23</v>
      </c>
      <c r="G11" s="10">
        <v>46736</v>
      </c>
      <c r="H11" s="9">
        <v>100</v>
      </c>
      <c r="I11" s="9">
        <v>115.5</v>
      </c>
      <c r="J11" s="10">
        <v>45471</v>
      </c>
      <c r="K11" s="9">
        <v>149.24</v>
      </c>
      <c r="L11" s="11">
        <v>0.77390000000000003</v>
      </c>
      <c r="M11" s="12">
        <v>6.0711695456237003E-3</v>
      </c>
      <c r="N11">
        <f>D11-J11</f>
        <v>1265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ADBE-99FB-4C72-B1DA-2D6FC3D0E1F8}">
  <dimension ref="A1:D100"/>
  <sheetViews>
    <sheetView workbookViewId="0">
      <selection activeCell="D1" sqref="D1"/>
    </sheetView>
  </sheetViews>
  <sheetFormatPr defaultRowHeight="14.4" x14ac:dyDescent="0.3"/>
  <cols>
    <col min="1" max="1" width="7.88671875" bestFit="1" customWidth="1"/>
    <col min="2" max="2" width="18.109375" bestFit="1" customWidth="1"/>
    <col min="3" max="3" width="6" bestFit="1" customWidth="1"/>
    <col min="4" max="4" width="12" bestFit="1" customWidth="1"/>
  </cols>
  <sheetData>
    <row r="1" spans="1:4" x14ac:dyDescent="0.3">
      <c r="A1" s="13" t="s">
        <v>30</v>
      </c>
      <c r="B1" s="13" t="s">
        <v>35</v>
      </c>
      <c r="C1" s="13" t="s">
        <v>34</v>
      </c>
      <c r="D1" s="13" t="s">
        <v>36</v>
      </c>
    </row>
    <row r="2" spans="1:4" x14ac:dyDescent="0.3">
      <c r="A2" t="s">
        <v>18</v>
      </c>
      <c r="B2" s="14">
        <v>45657</v>
      </c>
      <c r="C2">
        <v>0.5</v>
      </c>
      <c r="D2">
        <v>2656.2201084833491</v>
      </c>
    </row>
    <row r="3" spans="1:4" x14ac:dyDescent="0.3">
      <c r="A3" t="s">
        <v>18</v>
      </c>
      <c r="B3" s="14">
        <v>45838</v>
      </c>
      <c r="C3">
        <v>1</v>
      </c>
      <c r="D3">
        <v>2300.35409198964</v>
      </c>
    </row>
    <row r="4" spans="1:4" x14ac:dyDescent="0.3">
      <c r="A4" t="s">
        <v>18</v>
      </c>
      <c r="B4" s="14">
        <v>46022</v>
      </c>
      <c r="C4">
        <v>1.5</v>
      </c>
      <c r="D4">
        <v>1208.537121204316</v>
      </c>
    </row>
    <row r="5" spans="1:4" x14ac:dyDescent="0.3">
      <c r="A5" t="s">
        <v>18</v>
      </c>
      <c r="B5" s="14">
        <v>46203</v>
      </c>
      <c r="C5">
        <v>2</v>
      </c>
      <c r="D5">
        <v>1130.4829616861609</v>
      </c>
    </row>
    <row r="6" spans="1:4" x14ac:dyDescent="0.3">
      <c r="A6" t="s">
        <v>18</v>
      </c>
      <c r="B6" s="14">
        <v>46387</v>
      </c>
      <c r="C6">
        <v>2.5</v>
      </c>
      <c r="D6">
        <v>432.10135373473747</v>
      </c>
    </row>
    <row r="7" spans="1:4" x14ac:dyDescent="0.3">
      <c r="A7" t="s">
        <v>18</v>
      </c>
      <c r="B7" s="14">
        <v>46568</v>
      </c>
      <c r="C7">
        <v>3</v>
      </c>
      <c r="D7">
        <v>431.53981827497131</v>
      </c>
    </row>
    <row r="8" spans="1:4" x14ac:dyDescent="0.3">
      <c r="A8" t="s">
        <v>18</v>
      </c>
      <c r="B8" s="14">
        <v>46752</v>
      </c>
      <c r="C8">
        <v>3.5</v>
      </c>
      <c r="D8">
        <v>483.98270529687318</v>
      </c>
    </row>
    <row r="9" spans="1:4" x14ac:dyDescent="0.3">
      <c r="A9" t="s">
        <v>18</v>
      </c>
      <c r="B9" s="14">
        <v>46934</v>
      </c>
      <c r="C9">
        <v>4</v>
      </c>
      <c r="D9">
        <v>480.75096579330773</v>
      </c>
    </row>
    <row r="10" spans="1:4" x14ac:dyDescent="0.3">
      <c r="A10" t="s">
        <v>18</v>
      </c>
      <c r="B10" s="14">
        <v>47118</v>
      </c>
      <c r="C10">
        <v>4.5</v>
      </c>
      <c r="D10">
        <v>844.48587295376433</v>
      </c>
    </row>
    <row r="11" spans="1:4" x14ac:dyDescent="0.3">
      <c r="A11" t="s">
        <v>18</v>
      </c>
      <c r="B11" s="14">
        <v>47299</v>
      </c>
      <c r="C11">
        <v>5</v>
      </c>
      <c r="D11">
        <v>806.9818650195765</v>
      </c>
    </row>
    <row r="12" spans="1:4" x14ac:dyDescent="0.3">
      <c r="A12" t="s">
        <v>18</v>
      </c>
      <c r="B12" s="14">
        <v>47483</v>
      </c>
      <c r="C12">
        <v>5.5</v>
      </c>
      <c r="D12">
        <v>388.13366160331611</v>
      </c>
    </row>
    <row r="13" spans="1:4" x14ac:dyDescent="0.3">
      <c r="A13" t="s">
        <v>18</v>
      </c>
      <c r="B13" s="14">
        <v>47664</v>
      </c>
      <c r="C13">
        <v>6</v>
      </c>
      <c r="D13">
        <v>387.63700924172377</v>
      </c>
    </row>
    <row r="14" spans="1:4" x14ac:dyDescent="0.3">
      <c r="A14" t="s">
        <v>18</v>
      </c>
      <c r="B14" s="14">
        <v>47848</v>
      </c>
      <c r="C14">
        <v>6.5</v>
      </c>
      <c r="D14">
        <v>703.97604002716389</v>
      </c>
    </row>
    <row r="15" spans="1:4" x14ac:dyDescent="0.3">
      <c r="A15" t="s">
        <v>18</v>
      </c>
      <c r="B15" s="14">
        <v>48029</v>
      </c>
      <c r="C15">
        <v>7</v>
      </c>
      <c r="D15">
        <v>677.89373679935738</v>
      </c>
    </row>
    <row r="16" spans="1:4" x14ac:dyDescent="0.3">
      <c r="A16" t="s">
        <v>18</v>
      </c>
      <c r="B16" s="14">
        <v>48213</v>
      </c>
      <c r="C16">
        <v>7.5</v>
      </c>
      <c r="D16">
        <v>456.12493137285799</v>
      </c>
    </row>
    <row r="17" spans="1:4" x14ac:dyDescent="0.3">
      <c r="A17" t="s">
        <v>18</v>
      </c>
      <c r="B17" s="14">
        <v>48395</v>
      </c>
      <c r="C17">
        <v>8</v>
      </c>
      <c r="D17">
        <v>450.14662665995411</v>
      </c>
    </row>
    <row r="18" spans="1:4" x14ac:dyDescent="0.3">
      <c r="A18" t="s">
        <v>18</v>
      </c>
      <c r="B18" s="14">
        <v>48579</v>
      </c>
      <c r="C18">
        <v>8.5</v>
      </c>
      <c r="D18">
        <v>444.24667795169057</v>
      </c>
    </row>
    <row r="19" spans="1:4" x14ac:dyDescent="0.3">
      <c r="A19" t="s">
        <v>18</v>
      </c>
      <c r="B19" s="14">
        <v>48760</v>
      </c>
      <c r="C19">
        <v>9</v>
      </c>
      <c r="D19">
        <v>438.4240582573504</v>
      </c>
    </row>
    <row r="20" spans="1:4" x14ac:dyDescent="0.3">
      <c r="A20" t="s">
        <v>18</v>
      </c>
      <c r="B20" s="14">
        <v>48944</v>
      </c>
      <c r="C20">
        <v>9.5</v>
      </c>
      <c r="D20">
        <v>432.67775404669851</v>
      </c>
    </row>
    <row r="21" spans="1:4" x14ac:dyDescent="0.3">
      <c r="A21" t="s">
        <v>18</v>
      </c>
      <c r="B21" s="14">
        <v>49125</v>
      </c>
      <c r="C21">
        <v>10</v>
      </c>
      <c r="D21">
        <v>427.006765073564</v>
      </c>
    </row>
    <row r="22" spans="1:4" x14ac:dyDescent="0.3">
      <c r="A22" t="s">
        <v>18</v>
      </c>
      <c r="B22" s="14">
        <v>49309</v>
      </c>
      <c r="C22">
        <v>10.5</v>
      </c>
      <c r="D22">
        <v>421.41010420173262</v>
      </c>
    </row>
    <row r="23" spans="1:4" x14ac:dyDescent="0.3">
      <c r="A23" t="s">
        <v>18</v>
      </c>
      <c r="B23" s="14">
        <v>49490</v>
      </c>
      <c r="C23">
        <v>11</v>
      </c>
      <c r="D23">
        <v>415.88679723310622</v>
      </c>
    </row>
    <row r="24" spans="1:4" x14ac:dyDescent="0.3">
      <c r="A24" t="s">
        <v>18</v>
      </c>
      <c r="B24" s="14">
        <v>49674</v>
      </c>
      <c r="C24">
        <v>11.5</v>
      </c>
      <c r="D24">
        <v>410.43588273814743</v>
      </c>
    </row>
    <row r="25" spans="1:4" x14ac:dyDescent="0.3">
      <c r="A25" t="s">
        <v>18</v>
      </c>
      <c r="B25" s="14">
        <v>49856</v>
      </c>
      <c r="C25">
        <v>12</v>
      </c>
      <c r="D25">
        <v>1327.726194002405</v>
      </c>
    </row>
    <row r="26" spans="1:4" x14ac:dyDescent="0.3">
      <c r="A26" t="s">
        <v>18</v>
      </c>
      <c r="B26" s="14">
        <v>50040</v>
      </c>
      <c r="C26">
        <v>12.5</v>
      </c>
      <c r="D26">
        <v>1290.3366643615129</v>
      </c>
    </row>
    <row r="27" spans="1:4" x14ac:dyDescent="0.3">
      <c r="A27" t="s">
        <v>18</v>
      </c>
      <c r="B27" s="14">
        <v>50221</v>
      </c>
      <c r="C27">
        <v>13</v>
      </c>
      <c r="D27">
        <v>1253.699158254344</v>
      </c>
    </row>
    <row r="28" spans="1:4" x14ac:dyDescent="0.3">
      <c r="A28" t="s">
        <v>18</v>
      </c>
      <c r="B28" s="14">
        <v>50405</v>
      </c>
      <c r="C28">
        <v>13.5</v>
      </c>
      <c r="D28">
        <v>1217.8004283149301</v>
      </c>
    </row>
    <row r="29" spans="1:4" x14ac:dyDescent="0.3">
      <c r="A29" t="s">
        <v>18</v>
      </c>
      <c r="B29" s="14">
        <v>50586</v>
      </c>
      <c r="C29">
        <v>14</v>
      </c>
      <c r="D29">
        <v>1182.627317531465</v>
      </c>
    </row>
    <row r="30" spans="1:4" x14ac:dyDescent="0.3">
      <c r="A30" t="s">
        <v>18</v>
      </c>
      <c r="B30" s="14">
        <v>50770</v>
      </c>
      <c r="C30">
        <v>14.5</v>
      </c>
      <c r="D30">
        <v>1148.16701402853</v>
      </c>
    </row>
    <row r="31" spans="1:4" x14ac:dyDescent="0.3">
      <c r="A31" t="s">
        <v>18</v>
      </c>
      <c r="B31" s="14">
        <v>50951</v>
      </c>
      <c r="C31">
        <v>15</v>
      </c>
      <c r="D31">
        <v>1114.40691602385</v>
      </c>
    </row>
    <row r="32" spans="1:4" x14ac:dyDescent="0.3">
      <c r="A32" t="s">
        <v>18</v>
      </c>
      <c r="B32" s="14">
        <v>51135</v>
      </c>
      <c r="C32">
        <v>15.5</v>
      </c>
      <c r="D32">
        <v>1081.334506859507</v>
      </c>
    </row>
    <row r="33" spans="1:4" x14ac:dyDescent="0.3">
      <c r="A33" t="s">
        <v>18</v>
      </c>
      <c r="B33" s="14">
        <v>51317</v>
      </c>
      <c r="C33">
        <v>16</v>
      </c>
      <c r="D33">
        <v>1048.9375999193751</v>
      </c>
    </row>
    <row r="34" spans="1:4" x14ac:dyDescent="0.3">
      <c r="A34" t="s">
        <v>18</v>
      </c>
      <c r="B34" s="14">
        <v>51501</v>
      </c>
      <c r="C34">
        <v>16.5</v>
      </c>
      <c r="D34">
        <v>1017.204208848843</v>
      </c>
    </row>
    <row r="35" spans="1:4" x14ac:dyDescent="0.3">
      <c r="A35" t="s">
        <v>18</v>
      </c>
      <c r="B35" s="14">
        <v>51682</v>
      </c>
      <c r="C35">
        <v>17</v>
      </c>
      <c r="D35">
        <v>986.12242745765661</v>
      </c>
    </row>
    <row r="36" spans="1:4" x14ac:dyDescent="0.3">
      <c r="A36" t="s">
        <v>18</v>
      </c>
      <c r="B36" s="14">
        <v>51866</v>
      </c>
      <c r="C36">
        <v>17.5</v>
      </c>
      <c r="D36">
        <v>955.68066515457895</v>
      </c>
    </row>
    <row r="37" spans="1:4" x14ac:dyDescent="0.3">
      <c r="A37" t="s">
        <v>18</v>
      </c>
      <c r="B37" s="14">
        <v>52047</v>
      </c>
      <c r="C37">
        <v>18</v>
      </c>
      <c r="D37">
        <v>925.8675222248994</v>
      </c>
    </row>
    <row r="38" spans="1:4" x14ac:dyDescent="0.3">
      <c r="A38" t="s">
        <v>18</v>
      </c>
      <c r="B38" s="14">
        <v>52231</v>
      </c>
      <c r="C38">
        <v>18.5</v>
      </c>
      <c r="D38">
        <v>896.67167441506263</v>
      </c>
    </row>
    <row r="39" spans="1:4" x14ac:dyDescent="0.3">
      <c r="A39" t="s">
        <v>18</v>
      </c>
      <c r="B39" s="14">
        <v>52412</v>
      </c>
      <c r="C39">
        <v>19</v>
      </c>
      <c r="D39">
        <v>868.08209925165932</v>
      </c>
    </row>
    <row r="40" spans="1:4" x14ac:dyDescent="0.3">
      <c r="A40" t="s">
        <v>18</v>
      </c>
      <c r="B40" s="14">
        <v>52596</v>
      </c>
      <c r="C40">
        <v>19.5</v>
      </c>
      <c r="D40">
        <v>840.08791968125161</v>
      </c>
    </row>
    <row r="41" spans="1:4" x14ac:dyDescent="0.3">
      <c r="A41" t="s">
        <v>18</v>
      </c>
      <c r="B41" s="14">
        <v>52778</v>
      </c>
      <c r="C41">
        <v>20</v>
      </c>
      <c r="D41">
        <v>812.67847564622605</v>
      </c>
    </row>
    <row r="42" spans="1:4" x14ac:dyDescent="0.3">
      <c r="A42" t="s">
        <v>18</v>
      </c>
      <c r="B42" s="14">
        <v>52962</v>
      </c>
      <c r="C42">
        <v>20.5</v>
      </c>
      <c r="D42">
        <v>785.84317665715014</v>
      </c>
    </row>
    <row r="43" spans="1:4" x14ac:dyDescent="0.3">
      <c r="A43" t="s">
        <v>18</v>
      </c>
      <c r="B43" s="14">
        <v>53143</v>
      </c>
      <c r="C43">
        <v>21</v>
      </c>
      <c r="D43">
        <v>759.57171650418559</v>
      </c>
    </row>
    <row r="44" spans="1:4" x14ac:dyDescent="0.3">
      <c r="A44" t="s">
        <v>18</v>
      </c>
      <c r="B44" s="14">
        <v>53327</v>
      </c>
      <c r="C44">
        <v>21.5</v>
      </c>
      <c r="D44">
        <v>733.85395958287131</v>
      </c>
    </row>
    <row r="45" spans="1:4" x14ac:dyDescent="0.3">
      <c r="A45" t="s">
        <v>15</v>
      </c>
      <c r="B45" s="14">
        <v>45657</v>
      </c>
      <c r="C45">
        <v>0.5</v>
      </c>
      <c r="D45">
        <v>4225.1055952827928</v>
      </c>
    </row>
    <row r="46" spans="1:4" x14ac:dyDescent="0.3">
      <c r="A46" t="s">
        <v>15</v>
      </c>
      <c r="B46" s="14">
        <v>45838</v>
      </c>
      <c r="C46">
        <v>1</v>
      </c>
      <c r="D46">
        <v>3536.1461151000158</v>
      </c>
    </row>
    <row r="47" spans="1:4" x14ac:dyDescent="0.3">
      <c r="A47" t="s">
        <v>15</v>
      </c>
      <c r="B47" s="14">
        <v>46022</v>
      </c>
      <c r="C47">
        <v>1.5</v>
      </c>
      <c r="D47">
        <v>2450.4591189751641</v>
      </c>
    </row>
    <row r="48" spans="1:4" x14ac:dyDescent="0.3">
      <c r="A48" t="s">
        <v>15</v>
      </c>
      <c r="B48" s="14">
        <v>46203</v>
      </c>
      <c r="C48">
        <v>2</v>
      </c>
      <c r="D48">
        <v>2225.501388042389</v>
      </c>
    </row>
    <row r="49" spans="1:4" x14ac:dyDescent="0.3">
      <c r="A49" t="s">
        <v>15</v>
      </c>
      <c r="B49" s="14">
        <v>46387</v>
      </c>
      <c r="C49">
        <v>2.5</v>
      </c>
      <c r="D49">
        <v>1672.0570585822461</v>
      </c>
    </row>
    <row r="50" spans="1:4" x14ac:dyDescent="0.3">
      <c r="A50" t="s">
        <v>15</v>
      </c>
      <c r="B50" s="14">
        <v>46568</v>
      </c>
      <c r="C50">
        <v>3</v>
      </c>
      <c r="D50">
        <v>1635.585264854956</v>
      </c>
    </row>
    <row r="51" spans="1:4" x14ac:dyDescent="0.3">
      <c r="A51" t="s">
        <v>15</v>
      </c>
      <c r="B51" s="14">
        <v>46752</v>
      </c>
      <c r="C51">
        <v>3.5</v>
      </c>
      <c r="D51">
        <v>1623.889631015056</v>
      </c>
    </row>
    <row r="52" spans="1:4" x14ac:dyDescent="0.3">
      <c r="A52" t="s">
        <v>15</v>
      </c>
      <c r="B52" s="14">
        <v>46934</v>
      </c>
      <c r="C52">
        <v>4</v>
      </c>
      <c r="D52">
        <v>1576.6598958160289</v>
      </c>
    </row>
    <row r="53" spans="1:4" x14ac:dyDescent="0.3">
      <c r="A53" t="s">
        <v>15</v>
      </c>
      <c r="B53" s="14">
        <v>47118</v>
      </c>
      <c r="C53">
        <v>4.5</v>
      </c>
      <c r="D53">
        <v>1667.9687905741071</v>
      </c>
    </row>
    <row r="54" spans="1:4" x14ac:dyDescent="0.3">
      <c r="A54" t="s">
        <v>15</v>
      </c>
      <c r="B54" s="14">
        <v>47299</v>
      </c>
      <c r="C54">
        <v>5</v>
      </c>
      <c r="D54">
        <v>1543.631661593475</v>
      </c>
    </row>
    <row r="55" spans="1:4" x14ac:dyDescent="0.3">
      <c r="A55" t="s">
        <v>15</v>
      </c>
      <c r="B55" s="14">
        <v>47483</v>
      </c>
      <c r="C55">
        <v>5.5</v>
      </c>
      <c r="D55">
        <v>1317.376785947677</v>
      </c>
    </row>
    <row r="56" spans="1:4" x14ac:dyDescent="0.3">
      <c r="A56" t="s">
        <v>15</v>
      </c>
      <c r="B56" s="14">
        <v>47664</v>
      </c>
      <c r="C56">
        <v>6</v>
      </c>
      <c r="D56">
        <v>1284.8754779027779</v>
      </c>
    </row>
    <row r="57" spans="1:4" x14ac:dyDescent="0.3">
      <c r="A57" t="s">
        <v>15</v>
      </c>
      <c r="B57" s="14">
        <v>47848</v>
      </c>
      <c r="C57">
        <v>6.5</v>
      </c>
      <c r="D57">
        <v>1314.7639166968199</v>
      </c>
    </row>
    <row r="58" spans="1:4" x14ac:dyDescent="0.3">
      <c r="A58" t="s">
        <v>15</v>
      </c>
      <c r="B58" s="14">
        <v>48029</v>
      </c>
      <c r="C58">
        <v>7</v>
      </c>
      <c r="D58">
        <v>1222.735123373787</v>
      </c>
    </row>
    <row r="59" spans="1:4" x14ac:dyDescent="0.3">
      <c r="A59" t="s">
        <v>15</v>
      </c>
      <c r="B59" s="14">
        <v>48213</v>
      </c>
      <c r="C59">
        <v>7.5</v>
      </c>
      <c r="D59">
        <v>1114.6835074160431</v>
      </c>
    </row>
    <row r="60" spans="1:4" x14ac:dyDescent="0.3">
      <c r="A60" t="s">
        <v>15</v>
      </c>
      <c r="B60" s="14">
        <v>48395</v>
      </c>
      <c r="C60">
        <v>8</v>
      </c>
      <c r="D60">
        <v>1067.6110683516099</v>
      </c>
    </row>
    <row r="61" spans="1:4" x14ac:dyDescent="0.3">
      <c r="A61" t="s">
        <v>15</v>
      </c>
      <c r="B61" s="14">
        <v>48579</v>
      </c>
      <c r="C61">
        <v>8.5</v>
      </c>
      <c r="D61">
        <v>1021.581024331951</v>
      </c>
    </row>
    <row r="62" spans="1:4" x14ac:dyDescent="0.3">
      <c r="A62" t="s">
        <v>15</v>
      </c>
      <c r="B62" s="14">
        <v>48760</v>
      </c>
      <c r="C62">
        <v>9</v>
      </c>
      <c r="D62">
        <v>976.57418577260921</v>
      </c>
    </row>
    <row r="63" spans="1:4" x14ac:dyDescent="0.3">
      <c r="A63" t="s">
        <v>15</v>
      </c>
      <c r="B63" s="14">
        <v>48944</v>
      </c>
      <c r="C63">
        <v>9.5</v>
      </c>
      <c r="D63">
        <v>932.57168577466155</v>
      </c>
    </row>
    <row r="64" spans="1:4" x14ac:dyDescent="0.3">
      <c r="A64" t="s">
        <v>12</v>
      </c>
      <c r="B64" s="14">
        <v>45565</v>
      </c>
      <c r="C64">
        <v>0.25</v>
      </c>
      <c r="D64">
        <v>1007.45104033169</v>
      </c>
    </row>
    <row r="65" spans="1:4" x14ac:dyDescent="0.3">
      <c r="A65" t="s">
        <v>12</v>
      </c>
      <c r="B65" s="14">
        <v>45747</v>
      </c>
      <c r="C65">
        <v>0.75</v>
      </c>
      <c r="D65">
        <v>1596.9507133726449</v>
      </c>
    </row>
    <row r="66" spans="1:4" x14ac:dyDescent="0.3">
      <c r="A66" t="s">
        <v>12</v>
      </c>
      <c r="B66" s="14">
        <v>45930</v>
      </c>
      <c r="C66">
        <v>1.25</v>
      </c>
      <c r="D66">
        <v>1082.1122595739309</v>
      </c>
    </row>
    <row r="67" spans="1:4" x14ac:dyDescent="0.3">
      <c r="A67" t="s">
        <v>12</v>
      </c>
      <c r="B67" s="14">
        <v>46112</v>
      </c>
      <c r="C67">
        <v>1.75</v>
      </c>
      <c r="D67">
        <v>692.50209020591365</v>
      </c>
    </row>
    <row r="68" spans="1:4" x14ac:dyDescent="0.3">
      <c r="A68" t="s">
        <v>12</v>
      </c>
      <c r="B68" s="14">
        <v>46295</v>
      </c>
      <c r="C68">
        <v>2.25</v>
      </c>
      <c r="D68">
        <v>416.04930483134461</v>
      </c>
    </row>
    <row r="69" spans="1:4" x14ac:dyDescent="0.3">
      <c r="A69" t="s">
        <v>12</v>
      </c>
      <c r="B69" s="14">
        <v>46477</v>
      </c>
      <c r="C69">
        <v>2.75</v>
      </c>
      <c r="D69">
        <v>170.7021690785979</v>
      </c>
    </row>
    <row r="70" spans="1:4" x14ac:dyDescent="0.3">
      <c r="A70" t="s">
        <v>12</v>
      </c>
      <c r="B70" s="14">
        <v>46660</v>
      </c>
      <c r="C70">
        <v>3.25</v>
      </c>
      <c r="D70">
        <v>189.83042556621541</v>
      </c>
    </row>
    <row r="71" spans="1:4" x14ac:dyDescent="0.3">
      <c r="A71" t="s">
        <v>12</v>
      </c>
      <c r="B71" s="14">
        <v>46843</v>
      </c>
      <c r="C71">
        <v>3.75</v>
      </c>
      <c r="D71">
        <v>208.29348807021</v>
      </c>
    </row>
    <row r="72" spans="1:4" x14ac:dyDescent="0.3">
      <c r="A72" t="s">
        <v>12</v>
      </c>
      <c r="B72" s="14">
        <v>47026</v>
      </c>
      <c r="C72">
        <v>4.25</v>
      </c>
      <c r="D72">
        <v>342.34326081977048</v>
      </c>
    </row>
    <row r="73" spans="1:4" x14ac:dyDescent="0.3">
      <c r="A73" t="s">
        <v>12</v>
      </c>
      <c r="B73" s="14">
        <v>47208</v>
      </c>
      <c r="C73">
        <v>4.75</v>
      </c>
      <c r="D73">
        <v>462.96158751098528</v>
      </c>
    </row>
    <row r="74" spans="1:4" x14ac:dyDescent="0.3">
      <c r="A74" t="s">
        <v>12</v>
      </c>
      <c r="B74" s="14">
        <v>47391</v>
      </c>
      <c r="C74">
        <v>5.25</v>
      </c>
      <c r="D74">
        <v>1179.149969659713</v>
      </c>
    </row>
    <row r="75" spans="1:4" x14ac:dyDescent="0.3">
      <c r="A75" t="s">
        <v>12</v>
      </c>
      <c r="B75" s="14">
        <v>47573</v>
      </c>
      <c r="C75">
        <v>5.75</v>
      </c>
      <c r="D75">
        <v>1018.9882575476551</v>
      </c>
    </row>
    <row r="76" spans="1:4" x14ac:dyDescent="0.3">
      <c r="A76" t="s">
        <v>12</v>
      </c>
      <c r="B76" s="14">
        <v>47756</v>
      </c>
      <c r="C76">
        <v>6.25</v>
      </c>
      <c r="D76">
        <v>1096.702587028889</v>
      </c>
    </row>
    <row r="77" spans="1:4" x14ac:dyDescent="0.3">
      <c r="A77" t="s">
        <v>12</v>
      </c>
      <c r="B77" s="14">
        <v>47938</v>
      </c>
      <c r="C77">
        <v>6.75</v>
      </c>
      <c r="D77">
        <v>1140.142558392535</v>
      </c>
    </row>
    <row r="78" spans="1:4" x14ac:dyDescent="0.3">
      <c r="A78" t="s">
        <v>12</v>
      </c>
      <c r="B78" s="14">
        <v>48121</v>
      </c>
      <c r="C78">
        <v>7.25</v>
      </c>
      <c r="D78">
        <v>1028.535860278148</v>
      </c>
    </row>
    <row r="79" spans="1:4" x14ac:dyDescent="0.3">
      <c r="A79" t="s">
        <v>12</v>
      </c>
      <c r="B79" s="14">
        <v>48304</v>
      </c>
      <c r="C79">
        <v>7.75</v>
      </c>
      <c r="D79">
        <v>941.54108974682435</v>
      </c>
    </row>
    <row r="80" spans="1:4" x14ac:dyDescent="0.3">
      <c r="A80" t="s">
        <v>12</v>
      </c>
      <c r="B80" s="14">
        <v>48487</v>
      </c>
      <c r="C80">
        <v>8.25</v>
      </c>
      <c r="D80">
        <v>916.1588804907758</v>
      </c>
    </row>
    <row r="81" spans="1:4" x14ac:dyDescent="0.3">
      <c r="A81" t="s">
        <v>12</v>
      </c>
      <c r="B81" s="14">
        <v>48669</v>
      </c>
      <c r="C81">
        <v>8.75</v>
      </c>
      <c r="D81">
        <v>891.28033121160331</v>
      </c>
    </row>
    <row r="82" spans="1:4" x14ac:dyDescent="0.3">
      <c r="A82" t="s">
        <v>12</v>
      </c>
      <c r="B82" s="14">
        <v>48852</v>
      </c>
      <c r="C82">
        <v>9.25</v>
      </c>
      <c r="D82">
        <v>866.89655108841498</v>
      </c>
    </row>
    <row r="83" spans="1:4" x14ac:dyDescent="0.3">
      <c r="A83" t="s">
        <v>12</v>
      </c>
      <c r="B83" s="14">
        <v>49034</v>
      </c>
      <c r="C83">
        <v>9.75</v>
      </c>
      <c r="D83">
        <v>842.99884430662553</v>
      </c>
    </row>
    <row r="84" spans="1:4" x14ac:dyDescent="0.3">
      <c r="A84" t="s">
        <v>12</v>
      </c>
      <c r="B84" s="14">
        <v>49217</v>
      </c>
      <c r="C84">
        <v>10.25</v>
      </c>
      <c r="D84">
        <v>819.57861141629894</v>
      </c>
    </row>
    <row r="85" spans="1:4" x14ac:dyDescent="0.3">
      <c r="A85" t="s">
        <v>12</v>
      </c>
      <c r="B85" s="14">
        <v>49399</v>
      </c>
      <c r="C85">
        <v>10.75</v>
      </c>
      <c r="D85">
        <v>796.6275340417983</v>
      </c>
    </row>
    <row r="86" spans="1:4" x14ac:dyDescent="0.3">
      <c r="A86" t="s">
        <v>12</v>
      </c>
      <c r="B86" s="14">
        <v>49582</v>
      </c>
      <c r="C86">
        <v>11.25</v>
      </c>
      <c r="D86">
        <v>774.13729129423723</v>
      </c>
    </row>
    <row r="87" spans="1:4" x14ac:dyDescent="0.3">
      <c r="A87" t="s">
        <v>12</v>
      </c>
      <c r="B87" s="14">
        <v>49765</v>
      </c>
      <c r="C87">
        <v>11.75</v>
      </c>
      <c r="D87">
        <v>752.09974578698461</v>
      </c>
    </row>
    <row r="88" spans="1:4" x14ac:dyDescent="0.3">
      <c r="A88" t="s">
        <v>12</v>
      </c>
      <c r="B88" s="14">
        <v>49948</v>
      </c>
      <c r="C88">
        <v>12.25</v>
      </c>
      <c r="D88">
        <v>730.50685008409221</v>
      </c>
    </row>
    <row r="89" spans="1:4" x14ac:dyDescent="0.3">
      <c r="A89" t="s">
        <v>12</v>
      </c>
      <c r="B89" s="14">
        <v>50130</v>
      </c>
      <c r="C89">
        <v>12.75</v>
      </c>
      <c r="D89">
        <v>709.35082193404924</v>
      </c>
    </row>
    <row r="90" spans="1:4" x14ac:dyDescent="0.3">
      <c r="A90" t="s">
        <v>12</v>
      </c>
      <c r="B90" s="14">
        <v>50313</v>
      </c>
      <c r="C90">
        <v>13.25</v>
      </c>
      <c r="D90">
        <v>688.62387527899421</v>
      </c>
    </row>
    <row r="91" spans="1:4" x14ac:dyDescent="0.3">
      <c r="A91" t="s">
        <v>12</v>
      </c>
      <c r="B91" s="14">
        <v>50495</v>
      </c>
      <c r="C91">
        <v>13.75</v>
      </c>
      <c r="D91">
        <v>668.31839672669912</v>
      </c>
    </row>
    <row r="92" spans="1:4" x14ac:dyDescent="0.3">
      <c r="A92" t="s">
        <v>12</v>
      </c>
      <c r="B92" s="14">
        <v>50678</v>
      </c>
      <c r="C92">
        <v>14.25</v>
      </c>
      <c r="D92">
        <v>648.42685682643094</v>
      </c>
    </row>
    <row r="93" spans="1:4" x14ac:dyDescent="0.3">
      <c r="A93" t="s">
        <v>12</v>
      </c>
      <c r="B93" s="14">
        <v>50770</v>
      </c>
      <c r="C93">
        <v>14.5</v>
      </c>
      <c r="D93">
        <v>627.55949956068582</v>
      </c>
    </row>
    <row r="94" spans="1:4" x14ac:dyDescent="0.3">
      <c r="A94" t="s">
        <v>21</v>
      </c>
      <c r="B94" s="14">
        <v>45838</v>
      </c>
      <c r="C94">
        <v>1</v>
      </c>
      <c r="D94">
        <v>140.78783854149009</v>
      </c>
    </row>
    <row r="95" spans="1:4" x14ac:dyDescent="0.3">
      <c r="A95" t="s">
        <v>24</v>
      </c>
      <c r="B95" s="14">
        <v>46203</v>
      </c>
      <c r="C95">
        <v>2</v>
      </c>
      <c r="D95">
        <v>160.2305958820715</v>
      </c>
    </row>
    <row r="96" spans="1:4" x14ac:dyDescent="0.3">
      <c r="A96" t="s">
        <v>25</v>
      </c>
      <c r="B96" s="14">
        <v>46568</v>
      </c>
      <c r="C96">
        <v>3</v>
      </c>
      <c r="D96">
        <v>160.02414271629641</v>
      </c>
    </row>
    <row r="97" spans="1:4" x14ac:dyDescent="0.3">
      <c r="A97" t="s">
        <v>26</v>
      </c>
      <c r="B97" s="14">
        <v>46934</v>
      </c>
      <c r="C97">
        <v>4</v>
      </c>
      <c r="D97">
        <v>158.96893764677961</v>
      </c>
    </row>
    <row r="98" spans="1:4" x14ac:dyDescent="0.3">
      <c r="A98" t="s">
        <v>27</v>
      </c>
      <c r="B98" s="14">
        <v>46006</v>
      </c>
      <c r="C98">
        <v>1.46</v>
      </c>
      <c r="D98">
        <v>121.43370407360629</v>
      </c>
    </row>
    <row r="99" spans="1:4" x14ac:dyDescent="0.3">
      <c r="A99" t="s">
        <v>28</v>
      </c>
      <c r="B99" s="14">
        <v>46371</v>
      </c>
      <c r="C99">
        <v>2.46</v>
      </c>
      <c r="D99">
        <v>116.85237699936469</v>
      </c>
    </row>
    <row r="100" spans="1:4" x14ac:dyDescent="0.3">
      <c r="A100" t="s">
        <v>29</v>
      </c>
      <c r="B100" s="14">
        <v>46736</v>
      </c>
      <c r="C100">
        <v>3.46</v>
      </c>
      <c r="D100">
        <v>117.9445885450957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2026-01-26T20:29:42Z</dcterms:created>
  <dcterms:modified xsi:type="dcterms:W3CDTF">2026-01-26T20:36:25Z</dcterms:modified>
</cp:coreProperties>
</file>