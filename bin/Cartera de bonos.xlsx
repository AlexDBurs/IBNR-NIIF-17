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bin\"/>
    </mc:Choice>
  </mc:AlternateContent>
  <xr:revisionPtr revIDLastSave="0" documentId="13_ncr:1_{DCF91FAA-85B3-4FC8-B761-8AC90BB59D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A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33" i="1" l="1"/>
  <c r="AS32" i="1"/>
  <c r="AS24" i="1"/>
  <c r="AS23" i="1"/>
  <c r="AL14" i="1"/>
  <c r="AL21" i="1"/>
  <c r="AL20" i="1"/>
  <c r="AK21" i="1"/>
  <c r="AO10" i="1"/>
  <c r="AL16" i="1"/>
  <c r="AL15" i="1"/>
  <c r="AO4" i="1"/>
  <c r="AP4" i="1"/>
  <c r="AK14" i="1" s="1"/>
  <c r="AO5" i="1"/>
  <c r="AS12" i="1"/>
  <c r="AT12" i="1" s="1"/>
  <c r="AP3" i="1"/>
  <c r="AM4" i="1"/>
  <c r="AN4" i="1"/>
  <c r="G6" i="1"/>
  <c r="G5" i="1"/>
  <c r="G3" i="1"/>
  <c r="L4" i="1"/>
  <c r="L8" i="1"/>
  <c r="AP7" i="1"/>
  <c r="AP5" i="1"/>
  <c r="AP6" i="1"/>
  <c r="AP8" i="1"/>
  <c r="AP9" i="1"/>
  <c r="AP10" i="1"/>
  <c r="AP11" i="1"/>
  <c r="AO6" i="1"/>
  <c r="AO7" i="1"/>
  <c r="AL17" i="1" s="1"/>
  <c r="AO8" i="1"/>
  <c r="AL18" i="1" s="1"/>
  <c r="AO9" i="1"/>
  <c r="AL19" i="1" s="1"/>
  <c r="AO11" i="1"/>
  <c r="AJ15" i="1"/>
  <c r="AJ16" i="1"/>
  <c r="AJ17" i="1"/>
  <c r="AJ18" i="1"/>
  <c r="AJ19" i="1"/>
  <c r="AJ20" i="1"/>
  <c r="AJ21" i="1"/>
  <c r="AJ14" i="1"/>
  <c r="AL5" i="1"/>
  <c r="AL6" i="1"/>
  <c r="AL7" i="1"/>
  <c r="AL8" i="1"/>
  <c r="AL9" i="1"/>
  <c r="AL10" i="1"/>
  <c r="AL11" i="1"/>
  <c r="AL4" i="1"/>
  <c r="AK15" i="1" l="1"/>
  <c r="AM5" i="1"/>
  <c r="AN5" i="1" s="1"/>
  <c r="AM21" i="1"/>
  <c r="AK19" i="1"/>
  <c r="AM19" i="1"/>
  <c r="AK17" i="1"/>
  <c r="AM17" i="1" s="1"/>
  <c r="AK16" i="1"/>
  <c r="AM16" i="1" s="1"/>
  <c r="AK18" i="1"/>
  <c r="AM18" i="1" s="1"/>
  <c r="AM14" i="1"/>
  <c r="AM11" i="1"/>
  <c r="AN11" i="1" s="1"/>
  <c r="AK20" i="1"/>
  <c r="AM6" i="1"/>
  <c r="AN6" i="1" s="1"/>
  <c r="AM9" i="1"/>
  <c r="AN9" i="1" s="1"/>
  <c r="AS7" i="1"/>
  <c r="AT7" i="1" s="1"/>
  <c r="AS14" i="1"/>
  <c r="AT14" i="1" s="1"/>
  <c r="AS19" i="1"/>
  <c r="AS20" i="1" s="1"/>
  <c r="AS11" i="1"/>
  <c r="AT11" i="1" s="1"/>
  <c r="AM8" i="1"/>
  <c r="AN8" i="1" s="1"/>
  <c r="AS18" i="1"/>
  <c r="AT18" i="1" s="1"/>
  <c r="AS13" i="1"/>
  <c r="AT13" i="1" s="1"/>
  <c r="AM10" i="1"/>
  <c r="AN10" i="1" s="1"/>
  <c r="AS3" i="1"/>
  <c r="AT3" i="1" s="1"/>
  <c r="AM7" i="1"/>
  <c r="AN7" i="1" s="1"/>
  <c r="AS17" i="1"/>
  <c r="AT17" i="1" s="1"/>
  <c r="AS9" i="1"/>
  <c r="AT9" i="1" s="1"/>
  <c r="AS15" i="1"/>
  <c r="AT15" i="1" s="1"/>
  <c r="AS5" i="1"/>
  <c r="AT5" i="1" s="1"/>
  <c r="AS4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3" i="1"/>
  <c r="AA4" i="1"/>
  <c r="AE6" i="1" s="1"/>
  <c r="AA5" i="1"/>
  <c r="AA6" i="1"/>
  <c r="AE10" i="1" s="1"/>
  <c r="AA7" i="1"/>
  <c r="AA8" i="1"/>
  <c r="AE14" i="1" s="1"/>
  <c r="AA9" i="1"/>
  <c r="AE16" i="1" s="1"/>
  <c r="AA10" i="1"/>
  <c r="AE18" i="1" s="1"/>
  <c r="AA3" i="1"/>
  <c r="AE4" i="1" s="1"/>
  <c r="AE3" i="1" s="1"/>
  <c r="AF4" i="1" s="1"/>
  <c r="Z3" i="1"/>
  <c r="Z5" i="1"/>
  <c r="Z6" i="1"/>
  <c r="Z7" i="1"/>
  <c r="Z8" i="1"/>
  <c r="Z9" i="1"/>
  <c r="Z10" i="1"/>
  <c r="Z4" i="1"/>
  <c r="Y11" i="1"/>
  <c r="Y12" i="1" s="1"/>
  <c r="Z12" i="1" s="1"/>
  <c r="H47" i="1"/>
  <c r="L3" i="1"/>
  <c r="I2" i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V2" i="1" l="1"/>
  <c r="L2" i="1"/>
  <c r="E13" i="1"/>
  <c r="U13" i="1" s="1"/>
  <c r="E25" i="1"/>
  <c r="E14" i="1"/>
  <c r="U14" i="1" s="1"/>
  <c r="E24" i="1"/>
  <c r="U24" i="1" s="1"/>
  <c r="E3" i="1"/>
  <c r="E15" i="1"/>
  <c r="U15" i="1" s="1"/>
  <c r="E4" i="1"/>
  <c r="U4" i="1" s="1"/>
  <c r="E16" i="1"/>
  <c r="U16" i="1" s="1"/>
  <c r="E12" i="1"/>
  <c r="U12" i="1" s="1"/>
  <c r="E5" i="1"/>
  <c r="E17" i="1"/>
  <c r="U17" i="1" s="1"/>
  <c r="E6" i="1"/>
  <c r="U6" i="1" s="1"/>
  <c r="E18" i="1"/>
  <c r="U18" i="1" s="1"/>
  <c r="E11" i="1"/>
  <c r="U11" i="1" s="1"/>
  <c r="E7" i="1"/>
  <c r="U7" i="1" s="1"/>
  <c r="E19" i="1"/>
  <c r="U19" i="1" s="1"/>
  <c r="E23" i="1"/>
  <c r="U23" i="1" s="1"/>
  <c r="E8" i="1"/>
  <c r="U8" i="1" s="1"/>
  <c r="E20" i="1"/>
  <c r="U20" i="1" s="1"/>
  <c r="E9" i="1"/>
  <c r="U9" i="1" s="1"/>
  <c r="E21" i="1"/>
  <c r="U21" i="1" s="1"/>
  <c r="E10" i="1"/>
  <c r="U10" i="1" s="1"/>
  <c r="E22" i="1"/>
  <c r="U22" i="1" s="1"/>
  <c r="AS10" i="1"/>
  <c r="AT10" i="1" s="1"/>
  <c r="AU10" i="1" s="1"/>
  <c r="AS16" i="1"/>
  <c r="AT16" i="1" s="1"/>
  <c r="AM20" i="1"/>
  <c r="AS8" i="1"/>
  <c r="AT8" i="1" s="1"/>
  <c r="AU9" i="1" s="1"/>
  <c r="AS21" i="1"/>
  <c r="AS30" i="1"/>
  <c r="AS6" i="1"/>
  <c r="AT6" i="1" s="1"/>
  <c r="AU6" i="1" s="1"/>
  <c r="AM15" i="1"/>
  <c r="AS40" i="1"/>
  <c r="AS127" i="1"/>
  <c r="AS114" i="1"/>
  <c r="AS149" i="1"/>
  <c r="AS165" i="1"/>
  <c r="AS197" i="1"/>
  <c r="AS58" i="1"/>
  <c r="AS84" i="1"/>
  <c r="AS128" i="1"/>
  <c r="AS139" i="1"/>
  <c r="AS144" i="1"/>
  <c r="AS155" i="1"/>
  <c r="AS160" i="1"/>
  <c r="AS171" i="1"/>
  <c r="AS176" i="1"/>
  <c r="AS187" i="1"/>
  <c r="AS192" i="1"/>
  <c r="AS203" i="1"/>
  <c r="AS49" i="1"/>
  <c r="AS52" i="1"/>
  <c r="AS65" i="1"/>
  <c r="AS68" i="1"/>
  <c r="AS81" i="1"/>
  <c r="AS88" i="1"/>
  <c r="AS93" i="1"/>
  <c r="AS100" i="1"/>
  <c r="AS108" i="1"/>
  <c r="AS116" i="1"/>
  <c r="AS124" i="1"/>
  <c r="AS131" i="1"/>
  <c r="AS147" i="1"/>
  <c r="AS152" i="1"/>
  <c r="AS168" i="1"/>
  <c r="AS184" i="1"/>
  <c r="AS57" i="1"/>
  <c r="AS112" i="1"/>
  <c r="AS142" i="1"/>
  <c r="AS158" i="1"/>
  <c r="AS201" i="1"/>
  <c r="AS51" i="1"/>
  <c r="AS67" i="1"/>
  <c r="AS91" i="1"/>
  <c r="AS113" i="1"/>
  <c r="AS159" i="1"/>
  <c r="AS196" i="1"/>
  <c r="AS61" i="1"/>
  <c r="AS80" i="1"/>
  <c r="AS87" i="1"/>
  <c r="AS92" i="1"/>
  <c r="AS106" i="1"/>
  <c r="AS122" i="1"/>
  <c r="AS138" i="1"/>
  <c r="AS170" i="1"/>
  <c r="AS129" i="1"/>
  <c r="AS134" i="1"/>
  <c r="AS145" i="1"/>
  <c r="AS150" i="1"/>
  <c r="AS161" i="1"/>
  <c r="AS166" i="1"/>
  <c r="AS177" i="1"/>
  <c r="AS182" i="1"/>
  <c r="AS193" i="1"/>
  <c r="AS198" i="1"/>
  <c r="AS59" i="1"/>
  <c r="AS62" i="1"/>
  <c r="AS75" i="1"/>
  <c r="AS78" i="1"/>
  <c r="AS85" i="1"/>
  <c r="AS94" i="1"/>
  <c r="AS101" i="1"/>
  <c r="AS109" i="1"/>
  <c r="AS117" i="1"/>
  <c r="AS125" i="1"/>
  <c r="AS135" i="1"/>
  <c r="AS140" i="1"/>
  <c r="AS151" i="1"/>
  <c r="AS156" i="1"/>
  <c r="AS167" i="1"/>
  <c r="AS172" i="1"/>
  <c r="AS183" i="1"/>
  <c r="AS188" i="1"/>
  <c r="AS199" i="1"/>
  <c r="AS48" i="1"/>
  <c r="AS53" i="1"/>
  <c r="AS56" i="1"/>
  <c r="AS69" i="1"/>
  <c r="AS72" i="1"/>
  <c r="AS89" i="1"/>
  <c r="AS102" i="1"/>
  <c r="AS110" i="1"/>
  <c r="AS118" i="1"/>
  <c r="AS136" i="1"/>
  <c r="AS163" i="1"/>
  <c r="AS179" i="1"/>
  <c r="AS195" i="1"/>
  <c r="AS200" i="1"/>
  <c r="AS60" i="1"/>
  <c r="AS73" i="1"/>
  <c r="AS76" i="1"/>
  <c r="AS86" i="1"/>
  <c r="AS96" i="1"/>
  <c r="AS104" i="1"/>
  <c r="AS120" i="1"/>
  <c r="AS126" i="1"/>
  <c r="AS137" i="1"/>
  <c r="AS153" i="1"/>
  <c r="AS169" i="1"/>
  <c r="AS174" i="1"/>
  <c r="AS185" i="1"/>
  <c r="AS190" i="1"/>
  <c r="AS54" i="1"/>
  <c r="AS70" i="1"/>
  <c r="AS83" i="1"/>
  <c r="AS97" i="1"/>
  <c r="AS121" i="1"/>
  <c r="AS143" i="1"/>
  <c r="AS64" i="1"/>
  <c r="AS77" i="1"/>
  <c r="AS98" i="1"/>
  <c r="AS133" i="1"/>
  <c r="AS154" i="1"/>
  <c r="AS186" i="1"/>
  <c r="AS202" i="1"/>
  <c r="AS55" i="1"/>
  <c r="AS130" i="1"/>
  <c r="AS141" i="1"/>
  <c r="AS146" i="1"/>
  <c r="AS157" i="1"/>
  <c r="AS162" i="1"/>
  <c r="AS173" i="1"/>
  <c r="AS178" i="1"/>
  <c r="AS189" i="1"/>
  <c r="AS194" i="1"/>
  <c r="AS47" i="1"/>
  <c r="AS50" i="1"/>
  <c r="AS63" i="1"/>
  <c r="AS66" i="1"/>
  <c r="AS79" i="1"/>
  <c r="AS82" i="1"/>
  <c r="AS90" i="1"/>
  <c r="AS95" i="1"/>
  <c r="AS103" i="1"/>
  <c r="AS111" i="1"/>
  <c r="AS119" i="1"/>
  <c r="AS105" i="1"/>
  <c r="AS132" i="1"/>
  <c r="AS148" i="1"/>
  <c r="AS164" i="1"/>
  <c r="AS175" i="1"/>
  <c r="AS180" i="1"/>
  <c r="AS191" i="1"/>
  <c r="AS181" i="1"/>
  <c r="AS71" i="1"/>
  <c r="AS74" i="1"/>
  <c r="AS115" i="1"/>
  <c r="AS123" i="1"/>
  <c r="AS99" i="1"/>
  <c r="AS107" i="1"/>
  <c r="AU15" i="1"/>
  <c r="V14" i="1" s="1"/>
  <c r="AU11" i="1"/>
  <c r="AU13" i="1"/>
  <c r="AU18" i="1"/>
  <c r="V17" i="1" s="1"/>
  <c r="AU16" i="1"/>
  <c r="AU17" i="1"/>
  <c r="AU12" i="1"/>
  <c r="V11" i="1" s="1"/>
  <c r="AU14" i="1"/>
  <c r="V13" i="1" s="1"/>
  <c r="Q10" i="1"/>
  <c r="AC4" i="1"/>
  <c r="AE7" i="1" s="1"/>
  <c r="AF7" i="1" s="1"/>
  <c r="AE8" i="1"/>
  <c r="R2" i="1"/>
  <c r="AC6" i="1"/>
  <c r="AE11" i="1" s="1"/>
  <c r="AE12" i="1"/>
  <c r="AS44" i="1"/>
  <c r="AT21" i="1"/>
  <c r="AV20" i="1"/>
  <c r="AT19" i="1"/>
  <c r="AU19" i="1" s="1"/>
  <c r="V18" i="1" s="1"/>
  <c r="AS26" i="1"/>
  <c r="AS42" i="1"/>
  <c r="AS36" i="1"/>
  <c r="AS31" i="1"/>
  <c r="AS29" i="1"/>
  <c r="AS25" i="1"/>
  <c r="AV12" i="1"/>
  <c r="AC7" i="1"/>
  <c r="AE13" i="1" s="1"/>
  <c r="AS45" i="1"/>
  <c r="AV14" i="1"/>
  <c r="AS38" i="1"/>
  <c r="AS41" i="1"/>
  <c r="AS46" i="1"/>
  <c r="AS35" i="1"/>
  <c r="AV19" i="1"/>
  <c r="AG18" i="1"/>
  <c r="AH11" i="1" s="1"/>
  <c r="AV17" i="1"/>
  <c r="AS37" i="1"/>
  <c r="AS39" i="1"/>
  <c r="AS27" i="1"/>
  <c r="AS34" i="1"/>
  <c r="AV13" i="1"/>
  <c r="AV15" i="1"/>
  <c r="AS22" i="1"/>
  <c r="AS43" i="1"/>
  <c r="AV16" i="1"/>
  <c r="AS28" i="1"/>
  <c r="AV18" i="1"/>
  <c r="AC9" i="1"/>
  <c r="AT4" i="1"/>
  <c r="AU4" i="1" s="1"/>
  <c r="AV5" i="1"/>
  <c r="AV4" i="1"/>
  <c r="AC8" i="1"/>
  <c r="AC5" i="1"/>
  <c r="AE9" i="1" s="1"/>
  <c r="AF10" i="1" s="1"/>
  <c r="AC3" i="1"/>
  <c r="AA12" i="1"/>
  <c r="AA11" i="1"/>
  <c r="Z11" i="1"/>
  <c r="Y13" i="1"/>
  <c r="M3" i="1"/>
  <c r="AV8" i="1" l="1"/>
  <c r="AU8" i="1"/>
  <c r="V7" i="1" s="1"/>
  <c r="AV9" i="1"/>
  <c r="AV41" i="1"/>
  <c r="V10" i="1"/>
  <c r="V16" i="1"/>
  <c r="V15" i="1"/>
  <c r="V9" i="1"/>
  <c r="Q5" i="1"/>
  <c r="U5" i="1"/>
  <c r="V5" i="1"/>
  <c r="U3" i="1"/>
  <c r="V3" i="1" s="1"/>
  <c r="Q3" i="1"/>
  <c r="AV10" i="1"/>
  <c r="V8" i="1"/>
  <c r="E26" i="1"/>
  <c r="U26" i="1" s="1"/>
  <c r="U25" i="1"/>
  <c r="V12" i="1"/>
  <c r="AV11" i="1"/>
  <c r="AV40" i="1"/>
  <c r="AT165" i="1"/>
  <c r="AV165" i="1"/>
  <c r="AV7" i="1"/>
  <c r="AT123" i="1"/>
  <c r="AV123" i="1"/>
  <c r="AT164" i="1"/>
  <c r="AV164" i="1"/>
  <c r="AT90" i="1"/>
  <c r="AV90" i="1"/>
  <c r="AT189" i="1"/>
  <c r="AV189" i="1"/>
  <c r="AT55" i="1"/>
  <c r="AV55" i="1"/>
  <c r="AT143" i="1"/>
  <c r="AV143" i="1"/>
  <c r="AT174" i="1"/>
  <c r="AV174" i="1"/>
  <c r="AT86" i="1"/>
  <c r="AV86" i="1"/>
  <c r="AT136" i="1"/>
  <c r="AV136" i="1"/>
  <c r="AV53" i="1"/>
  <c r="AT53" i="1"/>
  <c r="AT151" i="1"/>
  <c r="AV151" i="1"/>
  <c r="AT85" i="1"/>
  <c r="AV85" i="1"/>
  <c r="AT177" i="1"/>
  <c r="AV177" i="1"/>
  <c r="AT138" i="1"/>
  <c r="AV138" i="1"/>
  <c r="AT159" i="1"/>
  <c r="AV159" i="1"/>
  <c r="AT112" i="1"/>
  <c r="AV112" i="1"/>
  <c r="AT116" i="1"/>
  <c r="AV116" i="1"/>
  <c r="AT52" i="1"/>
  <c r="AV52" i="1"/>
  <c r="AT155" i="1"/>
  <c r="AV155" i="1"/>
  <c r="AT149" i="1"/>
  <c r="AV149" i="1"/>
  <c r="AT191" i="1"/>
  <c r="AV191" i="1"/>
  <c r="AT47" i="1"/>
  <c r="AV47" i="1"/>
  <c r="AT179" i="1"/>
  <c r="AV179" i="1"/>
  <c r="AT101" i="1"/>
  <c r="AV101" i="1"/>
  <c r="AV61" i="1"/>
  <c r="AT61" i="1"/>
  <c r="AT197" i="1"/>
  <c r="AV197" i="1"/>
  <c r="AT175" i="1"/>
  <c r="AV175" i="1"/>
  <c r="AT130" i="1"/>
  <c r="AV130" i="1"/>
  <c r="AT64" i="1"/>
  <c r="AV64" i="1"/>
  <c r="AT163" i="1"/>
  <c r="AV163" i="1"/>
  <c r="AT156" i="1"/>
  <c r="AV156" i="1"/>
  <c r="AT94" i="1"/>
  <c r="AV94" i="1"/>
  <c r="AT182" i="1"/>
  <c r="AV182" i="1"/>
  <c r="AT170" i="1"/>
  <c r="AV170" i="1"/>
  <c r="AT196" i="1"/>
  <c r="AV196" i="1"/>
  <c r="AT142" i="1"/>
  <c r="AV142" i="1"/>
  <c r="AT124" i="1"/>
  <c r="AV124" i="1"/>
  <c r="AT65" i="1"/>
  <c r="AV65" i="1"/>
  <c r="AT160" i="1"/>
  <c r="AV160" i="1"/>
  <c r="AV6" i="1"/>
  <c r="AT115" i="1"/>
  <c r="AV115" i="1"/>
  <c r="AT148" i="1"/>
  <c r="AV148" i="1"/>
  <c r="AT82" i="1"/>
  <c r="AV82" i="1"/>
  <c r="AT178" i="1"/>
  <c r="AV178" i="1"/>
  <c r="AT202" i="1"/>
  <c r="AV202" i="1"/>
  <c r="AT121" i="1"/>
  <c r="AV121" i="1"/>
  <c r="AT169" i="1"/>
  <c r="AV169" i="1"/>
  <c r="AT76" i="1"/>
  <c r="AV76" i="1"/>
  <c r="AT118" i="1"/>
  <c r="AV118" i="1"/>
  <c r="AV48" i="1"/>
  <c r="AT48" i="1"/>
  <c r="AT140" i="1"/>
  <c r="AV140" i="1"/>
  <c r="AT78" i="1"/>
  <c r="AV78" i="1"/>
  <c r="AT166" i="1"/>
  <c r="AV166" i="1"/>
  <c r="AT122" i="1"/>
  <c r="AV122" i="1"/>
  <c r="AT113" i="1"/>
  <c r="AV113" i="1"/>
  <c r="AT57" i="1"/>
  <c r="AV57" i="1"/>
  <c r="AT108" i="1"/>
  <c r="AV108" i="1"/>
  <c r="AT49" i="1"/>
  <c r="AV49" i="1"/>
  <c r="AT144" i="1"/>
  <c r="AV144" i="1"/>
  <c r="AT114" i="1"/>
  <c r="AV114" i="1"/>
  <c r="AT180" i="1"/>
  <c r="AV180" i="1"/>
  <c r="AT141" i="1"/>
  <c r="AV141" i="1"/>
  <c r="AT104" i="1"/>
  <c r="AV104" i="1"/>
  <c r="AT167" i="1"/>
  <c r="AV167" i="1"/>
  <c r="AT193" i="1"/>
  <c r="AV193" i="1"/>
  <c r="AT158" i="1"/>
  <c r="AV158" i="1"/>
  <c r="AT171" i="1"/>
  <c r="AV171" i="1"/>
  <c r="AT194" i="1"/>
  <c r="AV194" i="1"/>
  <c r="AT56" i="1"/>
  <c r="AV56" i="1"/>
  <c r="AT74" i="1"/>
  <c r="AV74" i="1"/>
  <c r="AT135" i="1"/>
  <c r="AV135" i="1"/>
  <c r="AT107" i="1"/>
  <c r="AV107" i="1"/>
  <c r="AT77" i="1"/>
  <c r="AV77" i="1"/>
  <c r="AV69" i="1"/>
  <c r="AT69" i="1"/>
  <c r="AT129" i="1"/>
  <c r="AV129" i="1"/>
  <c r="AT68" i="1"/>
  <c r="AV68" i="1"/>
  <c r="AT95" i="1"/>
  <c r="AV95" i="1"/>
  <c r="AT96" i="1"/>
  <c r="AV96" i="1"/>
  <c r="AT79" i="1"/>
  <c r="AV79" i="1"/>
  <c r="AT173" i="1"/>
  <c r="AV173" i="1"/>
  <c r="AT186" i="1"/>
  <c r="AV186" i="1"/>
  <c r="AT153" i="1"/>
  <c r="AV153" i="1"/>
  <c r="AT110" i="1"/>
  <c r="AV110" i="1"/>
  <c r="AT75" i="1"/>
  <c r="AV75" i="1"/>
  <c r="AT91" i="1"/>
  <c r="AV91" i="1"/>
  <c r="AT139" i="1"/>
  <c r="AV139" i="1"/>
  <c r="AT71" i="1"/>
  <c r="AV71" i="1"/>
  <c r="AT105" i="1"/>
  <c r="AV105" i="1"/>
  <c r="AT66" i="1"/>
  <c r="AV66" i="1"/>
  <c r="AT162" i="1"/>
  <c r="AV162" i="1"/>
  <c r="AT154" i="1"/>
  <c r="AV154" i="1"/>
  <c r="AT83" i="1"/>
  <c r="AV83" i="1"/>
  <c r="AT137" i="1"/>
  <c r="AV137" i="1"/>
  <c r="AT60" i="1"/>
  <c r="AV60" i="1"/>
  <c r="AT102" i="1"/>
  <c r="AV102" i="1"/>
  <c r="AT188" i="1"/>
  <c r="AV188" i="1"/>
  <c r="AT125" i="1"/>
  <c r="AV125" i="1"/>
  <c r="AT62" i="1"/>
  <c r="AV62" i="1"/>
  <c r="AT150" i="1"/>
  <c r="AV150" i="1"/>
  <c r="AT92" i="1"/>
  <c r="AV92" i="1"/>
  <c r="AV67" i="1"/>
  <c r="AT67" i="1"/>
  <c r="AT168" i="1"/>
  <c r="AV168" i="1"/>
  <c r="AT93" i="1"/>
  <c r="AV93" i="1"/>
  <c r="AT192" i="1"/>
  <c r="AV192" i="1"/>
  <c r="AT128" i="1"/>
  <c r="AV128" i="1"/>
  <c r="AT103" i="1"/>
  <c r="AV103" i="1"/>
  <c r="AT190" i="1"/>
  <c r="AV190" i="1"/>
  <c r="AT131" i="1"/>
  <c r="AV131" i="1"/>
  <c r="AT99" i="1"/>
  <c r="AV99" i="1"/>
  <c r="AT185" i="1"/>
  <c r="AV185" i="1"/>
  <c r="AT132" i="1"/>
  <c r="AV132" i="1"/>
  <c r="AT97" i="1"/>
  <c r="AV97" i="1"/>
  <c r="AV73" i="1"/>
  <c r="AT73" i="1"/>
  <c r="AT199" i="1"/>
  <c r="AV199" i="1"/>
  <c r="AT161" i="1"/>
  <c r="AV161" i="1"/>
  <c r="AT106" i="1"/>
  <c r="AV106" i="1"/>
  <c r="AT184" i="1"/>
  <c r="AV184" i="1"/>
  <c r="AT100" i="1"/>
  <c r="AV100" i="1"/>
  <c r="AT203" i="1"/>
  <c r="AV203" i="1"/>
  <c r="AT127" i="1"/>
  <c r="AV127" i="1"/>
  <c r="AT181" i="1"/>
  <c r="AU181" i="1" s="1"/>
  <c r="AV181" i="1"/>
  <c r="AT119" i="1"/>
  <c r="AV119" i="1"/>
  <c r="AT63" i="1"/>
  <c r="AV63" i="1"/>
  <c r="AT157" i="1"/>
  <c r="AV157" i="1"/>
  <c r="AT133" i="1"/>
  <c r="AV133" i="1"/>
  <c r="AT70" i="1"/>
  <c r="AV70" i="1"/>
  <c r="AT126" i="1"/>
  <c r="AV126" i="1"/>
  <c r="AT200" i="1"/>
  <c r="AV200" i="1"/>
  <c r="AT89" i="1"/>
  <c r="AV89" i="1"/>
  <c r="AT183" i="1"/>
  <c r="AV183" i="1"/>
  <c r="AT117" i="1"/>
  <c r="AV117" i="1"/>
  <c r="AT59" i="1"/>
  <c r="AV59" i="1"/>
  <c r="AT145" i="1"/>
  <c r="AV145" i="1"/>
  <c r="AT87" i="1"/>
  <c r="AV87" i="1"/>
  <c r="AT51" i="1"/>
  <c r="AV51" i="1"/>
  <c r="AT152" i="1"/>
  <c r="AV152" i="1"/>
  <c r="AT88" i="1"/>
  <c r="AV88" i="1"/>
  <c r="AT187" i="1"/>
  <c r="AV187" i="1"/>
  <c r="AT84" i="1"/>
  <c r="AV84" i="1"/>
  <c r="AT111" i="1"/>
  <c r="AV111" i="1"/>
  <c r="AT50" i="1"/>
  <c r="AV50" i="1"/>
  <c r="AT146" i="1"/>
  <c r="AV146" i="1"/>
  <c r="AT98" i="1"/>
  <c r="AV98" i="1"/>
  <c r="AT54" i="1"/>
  <c r="AV54" i="1"/>
  <c r="AT120" i="1"/>
  <c r="AV120" i="1"/>
  <c r="AT195" i="1"/>
  <c r="AV195" i="1"/>
  <c r="AT72" i="1"/>
  <c r="AU72" i="1" s="1"/>
  <c r="AV72" i="1"/>
  <c r="AT172" i="1"/>
  <c r="AV172" i="1"/>
  <c r="AT109" i="1"/>
  <c r="AV109" i="1"/>
  <c r="AT198" i="1"/>
  <c r="AV198" i="1"/>
  <c r="AT134" i="1"/>
  <c r="AV134" i="1"/>
  <c r="AT80" i="1"/>
  <c r="AV80" i="1"/>
  <c r="AT201" i="1"/>
  <c r="AV201" i="1"/>
  <c r="AT147" i="1"/>
  <c r="AV147" i="1"/>
  <c r="AT81" i="1"/>
  <c r="AV81" i="1"/>
  <c r="AT176" i="1"/>
  <c r="AV176" i="1"/>
  <c r="AT58" i="1"/>
  <c r="AV58" i="1"/>
  <c r="AU7" i="1"/>
  <c r="V6" i="1" s="1"/>
  <c r="AU5" i="1"/>
  <c r="V4" i="1" s="1"/>
  <c r="R10" i="1"/>
  <c r="Q11" i="1"/>
  <c r="Q21" i="1"/>
  <c r="Q8" i="1"/>
  <c r="R8" i="1" s="1"/>
  <c r="Q20" i="1"/>
  <c r="Q19" i="1"/>
  <c r="Q6" i="1"/>
  <c r="Q16" i="1"/>
  <c r="AF8" i="1"/>
  <c r="Q13" i="1"/>
  <c r="Q24" i="1"/>
  <c r="Q18" i="1"/>
  <c r="Q7" i="1"/>
  <c r="R7" i="1" s="1"/>
  <c r="AF12" i="1"/>
  <c r="Q14" i="1"/>
  <c r="Q4" i="1"/>
  <c r="R4" i="1" s="1"/>
  <c r="Q22" i="1"/>
  <c r="Q9" i="1"/>
  <c r="Q15" i="1"/>
  <c r="AH19" i="1"/>
  <c r="Q23" i="1"/>
  <c r="Q12" i="1"/>
  <c r="Q17" i="1"/>
  <c r="AH10" i="1"/>
  <c r="AV22" i="1"/>
  <c r="AH13" i="1"/>
  <c r="AH26" i="1"/>
  <c r="AH36" i="1"/>
  <c r="AH9" i="1"/>
  <c r="AE17" i="1"/>
  <c r="AF17" i="1" s="1"/>
  <c r="AH12" i="1"/>
  <c r="AH21" i="1"/>
  <c r="AH30" i="1"/>
  <c r="AH14" i="1"/>
  <c r="AH27" i="1"/>
  <c r="AH17" i="1"/>
  <c r="AE15" i="1"/>
  <c r="AF16" i="1" s="1"/>
  <c r="R16" i="1" s="1"/>
  <c r="AH20" i="1"/>
  <c r="AH29" i="1"/>
  <c r="AH3" i="1"/>
  <c r="AH43" i="1"/>
  <c r="AH4" i="1"/>
  <c r="AE5" i="1"/>
  <c r="AF6" i="1" s="1"/>
  <c r="AH28" i="1"/>
  <c r="AH37" i="1"/>
  <c r="AV29" i="1"/>
  <c r="AH35" i="1"/>
  <c r="AE19" i="1"/>
  <c r="AE27" i="1"/>
  <c r="AE35" i="1"/>
  <c r="AE43" i="1"/>
  <c r="AE28" i="1"/>
  <c r="AE44" i="1"/>
  <c r="AE29" i="1"/>
  <c r="AE37" i="1"/>
  <c r="AE31" i="1"/>
  <c r="AE41" i="1"/>
  <c r="AE20" i="1"/>
  <c r="AE36" i="1"/>
  <c r="AE45" i="1"/>
  <c r="AE24" i="1"/>
  <c r="AE25" i="1"/>
  <c r="AE34" i="1"/>
  <c r="AE21" i="1"/>
  <c r="AE39" i="1"/>
  <c r="AE40" i="1"/>
  <c r="AE22" i="1"/>
  <c r="AE30" i="1"/>
  <c r="AE38" i="1"/>
  <c r="AE23" i="1"/>
  <c r="AE33" i="1"/>
  <c r="AE26" i="1"/>
  <c r="AE42" i="1"/>
  <c r="AE32" i="1"/>
  <c r="AV34" i="1"/>
  <c r="AV43" i="1"/>
  <c r="AV32" i="1"/>
  <c r="AT20" i="1"/>
  <c r="AU20" i="1" s="1"/>
  <c r="V19" i="1" s="1"/>
  <c r="AV30" i="1"/>
  <c r="AV45" i="1"/>
  <c r="AV21" i="1"/>
  <c r="AV33" i="1"/>
  <c r="AV39" i="1"/>
  <c r="AV24" i="1"/>
  <c r="AV37" i="1"/>
  <c r="AV38" i="1"/>
  <c r="AV26" i="1"/>
  <c r="AV31" i="1"/>
  <c r="AH24" i="1"/>
  <c r="AH25" i="1"/>
  <c r="AH42" i="1"/>
  <c r="AH8" i="1"/>
  <c r="AH23" i="1"/>
  <c r="AH32" i="1"/>
  <c r="AH41" i="1"/>
  <c r="AH7" i="1"/>
  <c r="AH16" i="1"/>
  <c r="AV44" i="1"/>
  <c r="AH22" i="1"/>
  <c r="AH31" i="1"/>
  <c r="AH5" i="1"/>
  <c r="AH6" i="1"/>
  <c r="AH15" i="1"/>
  <c r="AV42" i="1"/>
  <c r="AV28" i="1"/>
  <c r="AV46" i="1"/>
  <c r="AV27" i="1"/>
  <c r="AF14" i="1"/>
  <c r="AH44" i="1"/>
  <c r="AH45" i="1"/>
  <c r="AH38" i="1"/>
  <c r="AH39" i="1"/>
  <c r="AH40" i="1"/>
  <c r="AH33" i="1"/>
  <c r="AH34" i="1"/>
  <c r="AV36" i="1"/>
  <c r="AV35" i="1"/>
  <c r="AV23" i="1"/>
  <c r="AV25" i="1"/>
  <c r="AH18" i="1"/>
  <c r="AT22" i="1"/>
  <c r="AU22" i="1" s="1"/>
  <c r="V21" i="1" s="1"/>
  <c r="Q25" i="1"/>
  <c r="AF13" i="1"/>
  <c r="AC10" i="1"/>
  <c r="AC11" i="1"/>
  <c r="AF11" i="1"/>
  <c r="AF9" i="1"/>
  <c r="Y14" i="1"/>
  <c r="Z13" i="1"/>
  <c r="AA13" i="1"/>
  <c r="AU124" i="1" l="1"/>
  <c r="AU62" i="1"/>
  <c r="AU175" i="1"/>
  <c r="AU160" i="1"/>
  <c r="AU102" i="1"/>
  <c r="AU144" i="1"/>
  <c r="AU126" i="1"/>
  <c r="AU150" i="1"/>
  <c r="AU117" i="1"/>
  <c r="AU109" i="1"/>
  <c r="AU53" i="1"/>
  <c r="AU203" i="1"/>
  <c r="AU92" i="1"/>
  <c r="R13" i="1"/>
  <c r="AU167" i="1"/>
  <c r="AU190" i="1"/>
  <c r="AU110" i="1"/>
  <c r="AU51" i="1"/>
  <c r="AU129" i="1"/>
  <c r="AU106" i="1"/>
  <c r="AU194" i="1"/>
  <c r="AU171" i="1"/>
  <c r="AU113" i="1"/>
  <c r="AU134" i="1"/>
  <c r="AU131" i="1"/>
  <c r="AU122" i="1"/>
  <c r="R9" i="1"/>
  <c r="R11" i="1"/>
  <c r="R14" i="1"/>
  <c r="AU87" i="1"/>
  <c r="AU143" i="1"/>
  <c r="AU95" i="1"/>
  <c r="AU183" i="1"/>
  <c r="AU48" i="1"/>
  <c r="AU63" i="1"/>
  <c r="AU71" i="1"/>
  <c r="AU104" i="1"/>
  <c r="AU169" i="1"/>
  <c r="AU154" i="1"/>
  <c r="AU140" i="1"/>
  <c r="AU65" i="1"/>
  <c r="AU125" i="1"/>
  <c r="AU137" i="1"/>
  <c r="AU56" i="1"/>
  <c r="AU192" i="1"/>
  <c r="AU178" i="1"/>
  <c r="AU163" i="1"/>
  <c r="AU147" i="1"/>
  <c r="AU176" i="1"/>
  <c r="AU152" i="1"/>
  <c r="AU200" i="1"/>
  <c r="AU157" i="1"/>
  <c r="AU97" i="1"/>
  <c r="AU75" i="1"/>
  <c r="AU68" i="1"/>
  <c r="AU57" i="1"/>
  <c r="AU187" i="1"/>
  <c r="AU119" i="1"/>
  <c r="AU59" i="1"/>
  <c r="AU78" i="1"/>
  <c r="AU196" i="1"/>
  <c r="AU155" i="1"/>
  <c r="AU159" i="1"/>
  <c r="AU151" i="1"/>
  <c r="AU90" i="1"/>
  <c r="AU198" i="1"/>
  <c r="AU139" i="1"/>
  <c r="AU67" i="1"/>
  <c r="AU116" i="1"/>
  <c r="AU120" i="1"/>
  <c r="AU50" i="1"/>
  <c r="AU88" i="1"/>
  <c r="AU184" i="1"/>
  <c r="AU66" i="1"/>
  <c r="AU186" i="1"/>
  <c r="AU80" i="1"/>
  <c r="AU172" i="1"/>
  <c r="AU54" i="1"/>
  <c r="AU111" i="1"/>
  <c r="AU127" i="1"/>
  <c r="AU188" i="1"/>
  <c r="AU83" i="1"/>
  <c r="AU105" i="1"/>
  <c r="AU114" i="1"/>
  <c r="AU165" i="1"/>
  <c r="AU107" i="1"/>
  <c r="AU84" i="1"/>
  <c r="AU93" i="1"/>
  <c r="AU69" i="1"/>
  <c r="AU170" i="1"/>
  <c r="AU197" i="1"/>
  <c r="AU52" i="1"/>
  <c r="AU138" i="1"/>
  <c r="AU164" i="1"/>
  <c r="AU179" i="1"/>
  <c r="AU132" i="1"/>
  <c r="AU135" i="1"/>
  <c r="AU195" i="1"/>
  <c r="AU146" i="1"/>
  <c r="AU70" i="1"/>
  <c r="AU100" i="1"/>
  <c r="AU199" i="1"/>
  <c r="AU185" i="1"/>
  <c r="AU103" i="1"/>
  <c r="AU168" i="1"/>
  <c r="AU60" i="1"/>
  <c r="AU162" i="1"/>
  <c r="AU153" i="1"/>
  <c r="AU96" i="1"/>
  <c r="AU74" i="1"/>
  <c r="AU158" i="1"/>
  <c r="AU141" i="1"/>
  <c r="AU49" i="1"/>
  <c r="AU121" i="1"/>
  <c r="AU148" i="1"/>
  <c r="AU61" i="1"/>
  <c r="AU81" i="1"/>
  <c r="AU73" i="1"/>
  <c r="AU182" i="1"/>
  <c r="AU64" i="1"/>
  <c r="AU191" i="1"/>
  <c r="AU177" i="1"/>
  <c r="AU136" i="1"/>
  <c r="AU55" i="1"/>
  <c r="AU123" i="1"/>
  <c r="AU156" i="1"/>
  <c r="AU161" i="1"/>
  <c r="AU79" i="1"/>
  <c r="AU58" i="1"/>
  <c r="AU145" i="1"/>
  <c r="AU89" i="1"/>
  <c r="AU133" i="1"/>
  <c r="AU99" i="1"/>
  <c r="AU128" i="1"/>
  <c r="AU91" i="1"/>
  <c r="AU77" i="1"/>
  <c r="AU193" i="1"/>
  <c r="AU180" i="1"/>
  <c r="AU108" i="1"/>
  <c r="AU166" i="1"/>
  <c r="AU118" i="1"/>
  <c r="AU202" i="1"/>
  <c r="AU115" i="1"/>
  <c r="AU174" i="1"/>
  <c r="AU98" i="1"/>
  <c r="AU82" i="1"/>
  <c r="AU201" i="1"/>
  <c r="AU142" i="1"/>
  <c r="AU94" i="1"/>
  <c r="AU130" i="1"/>
  <c r="AU101" i="1"/>
  <c r="AU149" i="1"/>
  <c r="AU112" i="1"/>
  <c r="AU85" i="1"/>
  <c r="AU86" i="1"/>
  <c r="AU189" i="1"/>
  <c r="AU173" i="1"/>
  <c r="AU76" i="1"/>
  <c r="AU21" i="1"/>
  <c r="V20" i="1" s="1"/>
  <c r="R17" i="1"/>
  <c r="R12" i="1"/>
  <c r="R6" i="1"/>
  <c r="R3" i="1"/>
  <c r="AF18" i="1"/>
  <c r="R18" i="1" s="1"/>
  <c r="AF5" i="1"/>
  <c r="R5" i="1" s="1"/>
  <c r="AF15" i="1"/>
  <c r="R15" i="1" s="1"/>
  <c r="AF20" i="1"/>
  <c r="R20" i="1" s="1"/>
  <c r="AF21" i="1"/>
  <c r="R21" i="1" s="1"/>
  <c r="AF19" i="1"/>
  <c r="R19" i="1" s="1"/>
  <c r="AF31" i="1"/>
  <c r="AT23" i="1"/>
  <c r="AU23" i="1" s="1"/>
  <c r="V22" i="1" s="1"/>
  <c r="E27" i="1"/>
  <c r="U27" i="1" s="1"/>
  <c r="Q26" i="1"/>
  <c r="AF22" i="1"/>
  <c r="R22" i="1" s="1"/>
  <c r="AC12" i="1"/>
  <c r="AF23" i="1" s="1"/>
  <c r="R23" i="1" s="1"/>
  <c r="AA14" i="1"/>
  <c r="Z14" i="1"/>
  <c r="Y15" i="1"/>
  <c r="AT24" i="1" l="1"/>
  <c r="AU24" i="1" s="1"/>
  <c r="V23" i="1" s="1"/>
  <c r="Q27" i="1"/>
  <c r="E28" i="1"/>
  <c r="U28" i="1" s="1"/>
  <c r="AC13" i="1"/>
  <c r="AF25" i="1" s="1"/>
  <c r="R25" i="1" s="1"/>
  <c r="AF24" i="1"/>
  <c r="R24" i="1" s="1"/>
  <c r="AA15" i="1"/>
  <c r="Z15" i="1"/>
  <c r="Y16" i="1"/>
  <c r="AT25" i="1" l="1"/>
  <c r="AU25" i="1" s="1"/>
  <c r="V24" i="1" s="1"/>
  <c r="E29" i="1"/>
  <c r="U29" i="1" s="1"/>
  <c r="Q28" i="1"/>
  <c r="AC14" i="1"/>
  <c r="AF27" i="1" s="1"/>
  <c r="R27" i="1" s="1"/>
  <c r="AF28" i="1"/>
  <c r="AF26" i="1"/>
  <c r="R26" i="1" s="1"/>
  <c r="AA16" i="1"/>
  <c r="Z16" i="1"/>
  <c r="Y17" i="1"/>
  <c r="R28" i="1" l="1"/>
  <c r="AT26" i="1"/>
  <c r="AU26" i="1" s="1"/>
  <c r="V25" i="1" s="1"/>
  <c r="E30" i="1"/>
  <c r="U30" i="1" s="1"/>
  <c r="Q29" i="1"/>
  <c r="AC15" i="1"/>
  <c r="AF29" i="1" s="1"/>
  <c r="AA17" i="1"/>
  <c r="Y18" i="1"/>
  <c r="Z17" i="1"/>
  <c r="R29" i="1" l="1"/>
  <c r="AT27" i="1"/>
  <c r="AU27" i="1" s="1"/>
  <c r="V26" i="1" s="1"/>
  <c r="E31" i="1"/>
  <c r="U31" i="1" s="1"/>
  <c r="Q30" i="1"/>
  <c r="AC16" i="1"/>
  <c r="AF30" i="1"/>
  <c r="AA18" i="1"/>
  <c r="Y19" i="1"/>
  <c r="Z18" i="1"/>
  <c r="R30" i="1" l="1"/>
  <c r="AT28" i="1"/>
  <c r="AU28" i="1" s="1"/>
  <c r="V27" i="1" s="1"/>
  <c r="E32" i="1"/>
  <c r="U32" i="1" s="1"/>
  <c r="Q31" i="1"/>
  <c r="R31" i="1" s="1"/>
  <c r="AC17" i="1"/>
  <c r="AF33" i="1" s="1"/>
  <c r="AF34" i="1"/>
  <c r="AF32" i="1"/>
  <c r="AA19" i="1"/>
  <c r="Z19" i="1"/>
  <c r="Y20" i="1"/>
  <c r="AT29" i="1" l="1"/>
  <c r="AU29" i="1" s="1"/>
  <c r="V28" i="1" s="1"/>
  <c r="E33" i="1"/>
  <c r="U33" i="1" s="1"/>
  <c r="Q32" i="1"/>
  <c r="R32" i="1" s="1"/>
  <c r="AC18" i="1"/>
  <c r="AF35" i="1" s="1"/>
  <c r="AF36" i="1"/>
  <c r="AA20" i="1"/>
  <c r="Y21" i="1"/>
  <c r="Z20" i="1"/>
  <c r="AT30" i="1" l="1"/>
  <c r="AU30" i="1" s="1"/>
  <c r="V29" i="1" s="1"/>
  <c r="E34" i="1"/>
  <c r="U34" i="1" s="1"/>
  <c r="Q33" i="1"/>
  <c r="R33" i="1" s="1"/>
  <c r="AC19" i="1"/>
  <c r="AF37" i="1" s="1"/>
  <c r="AA21" i="1"/>
  <c r="Y22" i="1"/>
  <c r="Z21" i="1"/>
  <c r="AT31" i="1" l="1"/>
  <c r="AU31" i="1" s="1"/>
  <c r="V30" i="1" s="1"/>
  <c r="E35" i="1"/>
  <c r="U35" i="1" s="1"/>
  <c r="Q34" i="1"/>
  <c r="R34" i="1" s="1"/>
  <c r="AC20" i="1"/>
  <c r="AF39" i="1" s="1"/>
  <c r="AF40" i="1"/>
  <c r="AF38" i="1"/>
  <c r="AA22" i="1"/>
  <c r="Y23" i="1"/>
  <c r="Z22" i="1"/>
  <c r="AT32" i="1" l="1"/>
  <c r="AU32" i="1" s="1"/>
  <c r="V31" i="1" s="1"/>
  <c r="E36" i="1"/>
  <c r="U36" i="1" s="1"/>
  <c r="Q35" i="1"/>
  <c r="R35" i="1" s="1"/>
  <c r="AC21" i="1"/>
  <c r="AF41" i="1" s="1"/>
  <c r="AA23" i="1"/>
  <c r="Z23" i="1"/>
  <c r="AT33" i="1" l="1"/>
  <c r="E37" i="1"/>
  <c r="U37" i="1" s="1"/>
  <c r="Q36" i="1"/>
  <c r="R36" i="1" s="1"/>
  <c r="AC22" i="1"/>
  <c r="AF43" i="1" s="1"/>
  <c r="AC23" i="1"/>
  <c r="AF45" i="1" s="1"/>
  <c r="AF42" i="1"/>
  <c r="AU33" i="1" l="1"/>
  <c r="V32" i="1" s="1"/>
  <c r="BB3" i="1" a="1"/>
  <c r="BB3" i="1" s="1"/>
  <c r="AT34" i="1"/>
  <c r="AU34" i="1" s="1"/>
  <c r="V33" i="1" s="1"/>
  <c r="E38" i="1"/>
  <c r="U38" i="1" s="1"/>
  <c r="Q37" i="1"/>
  <c r="R37" i="1" s="1"/>
  <c r="AF44" i="1"/>
  <c r="AT35" i="1" l="1"/>
  <c r="AU35" i="1" s="1"/>
  <c r="V34" i="1" s="1"/>
  <c r="E39" i="1"/>
  <c r="U39" i="1" s="1"/>
  <c r="Q38" i="1"/>
  <c r="R38" i="1" s="1"/>
  <c r="AT36" i="1" l="1"/>
  <c r="AU36" i="1" s="1"/>
  <c r="V35" i="1" s="1"/>
  <c r="E40" i="1"/>
  <c r="U40" i="1" s="1"/>
  <c r="Q39" i="1"/>
  <c r="R39" i="1" s="1"/>
  <c r="AT37" i="1" l="1"/>
  <c r="AU37" i="1" s="1"/>
  <c r="V36" i="1" s="1"/>
  <c r="E41" i="1"/>
  <c r="U41" i="1" s="1"/>
  <c r="Q40" i="1"/>
  <c r="R40" i="1" s="1"/>
  <c r="AT38" i="1" l="1"/>
  <c r="AU38" i="1" s="1"/>
  <c r="V37" i="1" s="1"/>
  <c r="E42" i="1"/>
  <c r="U42" i="1" s="1"/>
  <c r="Q41" i="1"/>
  <c r="R41" i="1" s="1"/>
  <c r="AT39" i="1" l="1"/>
  <c r="AU39" i="1" s="1"/>
  <c r="V38" i="1" s="1"/>
  <c r="E43" i="1"/>
  <c r="U43" i="1" s="1"/>
  <c r="Q42" i="1"/>
  <c r="R42" i="1" s="1"/>
  <c r="AT40" i="1" l="1"/>
  <c r="AU40" i="1" s="1"/>
  <c r="V39" i="1" s="1"/>
  <c r="E44" i="1"/>
  <c r="U44" i="1" s="1"/>
  <c r="Q43" i="1"/>
  <c r="R43" i="1" s="1"/>
  <c r="AT41" i="1" l="1"/>
  <c r="AU41" i="1" s="1"/>
  <c r="V40" i="1" s="1"/>
  <c r="E45" i="1"/>
  <c r="U45" i="1" s="1"/>
  <c r="Q44" i="1"/>
  <c r="R44" i="1" s="1"/>
  <c r="Q45" i="1" l="1"/>
  <c r="R45" i="1" s="1"/>
  <c r="S2" i="1" s="1"/>
  <c r="AT42" i="1"/>
  <c r="AU42" i="1" s="1"/>
  <c r="V41" i="1" s="1"/>
  <c r="AT43" i="1" l="1"/>
  <c r="AU43" i="1" s="1"/>
  <c r="V42" i="1" s="1"/>
  <c r="AT44" i="1" l="1"/>
  <c r="AU44" i="1" s="1"/>
  <c r="V43" i="1" s="1"/>
  <c r="AT46" i="1" l="1"/>
  <c r="AU47" i="1" s="1"/>
  <c r="AT45" i="1"/>
  <c r="AU45" i="1" s="1"/>
  <c r="V44" i="1" s="1"/>
  <c r="AU46" i="1" l="1"/>
  <c r="V45" i="1" s="1"/>
  <c r="W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<sst xmlns="http://schemas.openxmlformats.org/spreadsheetml/2006/main" count="75" uniqueCount="32">
  <si>
    <t>Símbolo</t>
  </si>
  <si>
    <t>Fecha Pago</t>
  </si>
  <si>
    <t>VR (%)</t>
  </si>
  <si>
    <t>VR Cartera (%)</t>
  </si>
  <si>
    <t>Renta (R)</t>
  </si>
  <si>
    <t>Amortización (A)</t>
  </si>
  <si>
    <t>A + R</t>
  </si>
  <si>
    <t>CUAP</t>
  </si>
  <si>
    <t>CCC to C</t>
  </si>
  <si>
    <t>Recovery Rate</t>
  </si>
  <si>
    <t>Exp</t>
  </si>
  <si>
    <t>Emprica</t>
  </si>
  <si>
    <t>Tiempo</t>
  </si>
  <si>
    <t>Bonos Amortizantes</t>
  </si>
  <si>
    <t>Código</t>
  </si>
  <si>
    <t>Vencimiento</t>
  </si>
  <si>
    <t>T5X4</t>
  </si>
  <si>
    <t>T2X4</t>
  </si>
  <si>
    <t>T4X4</t>
  </si>
  <si>
    <t>T2X5</t>
  </si>
  <si>
    <t>TC25P</t>
  </si>
  <si>
    <t>TX25</t>
  </si>
  <si>
    <t>TX26</t>
  </si>
  <si>
    <t>TX28</t>
  </si>
  <si>
    <t>TX31</t>
  </si>
  <si>
    <t>Old</t>
  </si>
  <si>
    <t>New</t>
  </si>
  <si>
    <t>Periodo</t>
  </si>
  <si>
    <t>noPD_cum</t>
  </si>
  <si>
    <t>PD_cum</t>
  </si>
  <si>
    <t>PD_marg</t>
  </si>
  <si>
    <t>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</si>
</sst>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%"/>
    <numFmt numFmtId="166" formatCode="##,##0.00_);\(##,##0.00\);\-_)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8"/>
      <name val="Lato"/>
      <family val="2"/>
    </font>
    <font>
      <sz val="8"/>
      <name val="Lato"/>
      <family val="2"/>
    </font>
    <font>
      <sz val="8"/>
      <color theme="1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2E9F3"/>
        <bgColor indexed="64"/>
      </patternFill>
    </fill>
    <fill>
      <patternFill patternType="solid">
        <fgColor rgb="FFFAFA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CFDBE7"/>
      </right>
      <top/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>
      <alignment horizontal="left" wrapText="1"/>
    </xf>
    <xf numFmtId="9" fontId="18" fillId="0" borderId="0" applyFon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43" fontId="0" fillId="0" borderId="0" xfId="42" applyFont="1"/>
    <xf numFmtId="9" fontId="0" fillId="0" borderId="0" xfId="43" applyFont="1"/>
    <xf numFmtId="164" fontId="0" fillId="0" borderId="0" xfId="43" applyNumberFormat="1" applyFont="1"/>
    <xf numFmtId="165" fontId="0" fillId="0" borderId="0" xfId="43" applyNumberFormat="1" applyFont="1"/>
    <xf numFmtId="10" fontId="0" fillId="0" borderId="0" xfId="0" applyNumberFormat="1"/>
    <xf numFmtId="0" fontId="19" fillId="33" borderId="0" xfId="44" applyFont="1" applyFill="1" applyAlignment="1">
      <alignment horizontal="left" vertical="center"/>
    </xf>
    <xf numFmtId="166" fontId="20" fillId="34" borderId="0" xfId="45" applyNumberFormat="1" applyFont="1" applyFill="1" applyBorder="1" applyAlignment="1" applyProtection="1">
      <alignment horizontal="center" vertical="center" wrapText="1"/>
    </xf>
    <xf numFmtId="166" fontId="20" fillId="34" borderId="10" xfId="45" applyNumberFormat="1" applyFont="1" applyFill="1" applyBorder="1" applyAlignment="1" applyProtection="1">
      <alignment horizontal="center" vertical="center" wrapText="1"/>
    </xf>
    <xf numFmtId="167" fontId="0" fillId="0" borderId="0" xfId="0" applyNumberFormat="1"/>
    <xf numFmtId="15" fontId="0" fillId="0" borderId="0" xfId="0" applyNumberFormat="1"/>
    <xf numFmtId="43" fontId="0" fillId="0" borderId="0" xfId="0" applyNumberFormat="1"/>
    <xf numFmtId="0" fontId="21" fillId="0" borderId="0" xfId="0" applyFont="1"/>
    <xf numFmtId="0" fontId="0" fillId="0" borderId="0" xfId="43" applyNumberFormat="1" applyFo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 2" xfId="44" xr:uid="{2666490B-D14D-4FB4-911A-D9599DB754C0}"/>
    <cellStyle name="Note" xfId="15" builtinId="10" customBuiltin="1"/>
    <cellStyle name="Output" xfId="10" builtinId="21" customBuiltin="1"/>
    <cellStyle name="Percent" xfId="43" builtinId="5"/>
    <cellStyle name="Percent 2" xfId="45" xr:uid="{45C94C72-99C4-4A72-A916-E746CD348871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CUAP!$AE$2</c:f>
              <c:strCache>
                <c:ptCount val="1"/>
                <c:pt idx="0">
                  <c:v>Emprica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CUAP!$AD$3:$AD$45</c:f>
              <c:numCache>
                <c:formatCode>General</c:formatCode>
                <c:ptCount val="43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</c:numCache>
            </c:numRef>
          </c:cat>
          <c:val>
            <c:numRef>
              <c:f>CUAP!$AE$3:$AE$45</c:f>
              <c:numCache>
                <c:formatCode>General</c:formatCode>
                <c:ptCount val="43"/>
                <c:pt idx="0">
                  <c:v>0.125</c:v>
                </c:pt>
                <c:pt idx="1">
                  <c:v>0.25</c:v>
                </c:pt>
                <c:pt idx="2">
                  <c:v>0.296875</c:v>
                </c:pt>
                <c:pt idx="3">
                  <c:v>0.34375</c:v>
                </c:pt>
                <c:pt idx="4">
                  <c:v>0.34460227272727273</c:v>
                </c:pt>
                <c:pt idx="5">
                  <c:v>0.34545454545454551</c:v>
                </c:pt>
                <c:pt idx="6">
                  <c:v>0.3498106060606061</c:v>
                </c:pt>
                <c:pt idx="7">
                  <c:v>0.35416666666666674</c:v>
                </c:pt>
                <c:pt idx="8">
                  <c:v>0.38221153846153849</c:v>
                </c:pt>
                <c:pt idx="9">
                  <c:v>0.41025641025641024</c:v>
                </c:pt>
                <c:pt idx="10">
                  <c:v>0.41101055806938158</c:v>
                </c:pt>
                <c:pt idx="11">
                  <c:v>0.41176470588235298</c:v>
                </c:pt>
                <c:pt idx="12">
                  <c:v>0.4331550802139037</c:v>
                </c:pt>
                <c:pt idx="13">
                  <c:v>0.45454545454545447</c:v>
                </c:pt>
                <c:pt idx="14">
                  <c:v>0.46164772727272724</c:v>
                </c:pt>
                <c:pt idx="15">
                  <c:v>0.46875</c:v>
                </c:pt>
                <c:pt idx="16">
                  <c:v>0.4893420152645287</c:v>
                </c:pt>
                <c:pt idx="17">
                  <c:v>0.50913585435464892</c:v>
                </c:pt>
                <c:pt idx="18">
                  <c:v>0.5281624557286515</c:v>
                </c:pt>
                <c:pt idx="19">
                  <c:v>0.54645155862561789</c:v>
                </c:pt>
                <c:pt idx="20">
                  <c:v>0.56403174954888291</c:v>
                </c:pt>
                <c:pt idx="21">
                  <c:v>0.58093050694773329</c:v>
                </c:pt>
                <c:pt idx="22">
                  <c:v>0.59717424416717912</c:v>
                </c:pt>
                <c:pt idx="23">
                  <c:v>0.61278835073292925</c:v>
                </c:pt>
                <c:pt idx="24">
                  <c:v>0.62779723203610271</c:v>
                </c:pt>
                <c:pt idx="25">
                  <c:v>0.64222434747970247</c:v>
                </c:pt>
                <c:pt idx="26">
                  <c:v>0.6560922471464784</c:v>
                </c:pt>
                <c:pt idx="27">
                  <c:v>0.66942260704548917</c:v>
                </c:pt>
                <c:pt idx="28">
                  <c:v>0.68223626299245854</c:v>
                </c:pt>
                <c:pt idx="29">
                  <c:v>0.69455324317687828</c:v>
                </c:pt>
                <c:pt idx="30">
                  <c:v>0.70639279946676536</c:v>
                </c:pt>
                <c:pt idx="31">
                  <c:v>0.7177734375</c:v>
                </c:pt>
                <c:pt idx="32">
                  <c:v>0.7287129456092809</c:v>
                </c:pt>
                <c:pt idx="33">
                  <c:v>0.73922842262590716</c:v>
                </c:pt>
                <c:pt idx="34">
                  <c:v>0.7493363046058461</c:v>
                </c:pt>
                <c:pt idx="35">
                  <c:v>0.75905239051985951</c:v>
                </c:pt>
                <c:pt idx="36">
                  <c:v>0.768391866947844</c:v>
                </c:pt>
                <c:pt idx="37">
                  <c:v>0.77736933181598333</c:v>
                </c:pt>
                <c:pt idx="38">
                  <c:v>0.78599881721381393</c:v>
                </c:pt>
                <c:pt idx="39">
                  <c:v>0.79429381132686872</c:v>
                </c:pt>
                <c:pt idx="40">
                  <c:v>0.80226727951917953</c:v>
                </c:pt>
                <c:pt idx="41">
                  <c:v>0.80993168459859199</c:v>
                </c:pt>
                <c:pt idx="42">
                  <c:v>0.81729900629656671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F9-4049-BA3A-4382DF311DE0}"/>
            </c:ext>
          </c:extLst>
        </c:ser>
        <c:ser>
          <c:idx val="2"/>
          <c:order val="2"/>
          <c:tx>
            <c:v>Surv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CUAP!$AT$4:$AT$46</c:f>
              <c:numCache>
                <c:formatCode>General</c:formatCode>
                <c:ptCount val="43"/>
                <c:pt idx="0">
                  <c:v>0.13397459621556129</c:v>
                </c:pt>
                <c:pt idx="1">
                  <c:v>0.25</c:v>
                </c:pt>
                <c:pt idx="2">
                  <c:v>0.29843923997988597</c:v>
                </c:pt>
                <c:pt idx="3">
                  <c:v>0.34375</c:v>
                </c:pt>
                <c:pt idx="4">
                  <c:v>0.34460282687102273</c:v>
                </c:pt>
                <c:pt idx="5">
                  <c:v>0.34545454545454546</c:v>
                </c:pt>
                <c:pt idx="6">
                  <c:v>0.34982519832950099</c:v>
                </c:pt>
                <c:pt idx="7">
                  <c:v>0.35416666666666674</c:v>
                </c:pt>
                <c:pt idx="8">
                  <c:v>0.38284842350029735</c:v>
                </c:pt>
                <c:pt idx="9">
                  <c:v>0.41025641025641024</c:v>
                </c:pt>
                <c:pt idx="10">
                  <c:v>0.41101104087867879</c:v>
                </c:pt>
                <c:pt idx="11">
                  <c:v>0.41176470588235303</c:v>
                </c:pt>
                <c:pt idx="12">
                  <c:v>0.43355881596297929</c:v>
                </c:pt>
                <c:pt idx="13">
                  <c:v>0.45454545454545447</c:v>
                </c:pt>
                <c:pt idx="14">
                  <c:v>0.46169457807604486</c:v>
                </c:pt>
                <c:pt idx="15">
                  <c:v>0.46875</c:v>
                </c:pt>
                <c:pt idx="16">
                  <c:v>0.47571294843864798</c:v>
                </c:pt>
                <c:pt idx="17">
                  <c:v>0.48258463541666674</c:v>
                </c:pt>
                <c:pt idx="18">
                  <c:v>0.48936625707305825</c:v>
                </c:pt>
                <c:pt idx="19">
                  <c:v>0.4960589938693577</c:v>
                </c:pt>
                <c:pt idx="20">
                  <c:v>0.50266401079511402</c:v>
                </c:pt>
                <c:pt idx="21">
                  <c:v>0.50918245757067648</c:v>
                </c:pt>
                <c:pt idx="22">
                  <c:v>0.51561546884732468</c:v>
                </c:pt>
                <c:pt idx="23">
                  <c:v>0.52196416440477367</c:v>
                </c:pt>
                <c:pt idx="24">
                  <c:v>0.52822964934609229</c:v>
                </c:pt>
                <c:pt idx="25">
                  <c:v>0.53441301429006594</c:v>
                </c:pt>
                <c:pt idx="26">
                  <c:v>0.54051533556103781</c:v>
                </c:pt>
                <c:pt idx="27">
                  <c:v>0.54653767537626219</c:v>
                </c:pt>
                <c:pt idx="28">
                  <c:v>0.55248108203080248</c:v>
                </c:pt>
                <c:pt idx="29">
                  <c:v>0.55834659008000531</c:v>
                </c:pt>
                <c:pt idx="30">
                  <c:v>0.56413522051958376</c:v>
                </c:pt>
                <c:pt idx="31">
                  <c:v>0.56984798096333855</c:v>
                </c:pt>
                <c:pt idx="32">
                  <c:v>0.57548586581855288</c:v>
                </c:pt>
                <c:pt idx="33">
                  <c:v>0.58104985645908513</c:v>
                </c:pt>
                <c:pt idx="34">
                  <c:v>0.58654092139619474</c:v>
                </c:pt>
                <c:pt idx="35">
                  <c:v>0.5919600164471297</c:v>
                </c:pt>
                <c:pt idx="36">
                  <c:v>0.59730808490150222</c:v>
                </c:pt>
                <c:pt idx="37">
                  <c:v>0.60258605768548579</c:v>
                </c:pt>
                <c:pt idx="38">
                  <c:v>0.60779485352385898</c:v>
                </c:pt>
                <c:pt idx="39">
                  <c:v>0.61293537909992635</c:v>
                </c:pt>
                <c:pt idx="40">
                  <c:v>0.61800852921334193</c:v>
                </c:pt>
                <c:pt idx="41">
                  <c:v>0.62301518693586577</c:v>
                </c:pt>
                <c:pt idx="42">
                  <c:v>0.62795622376507776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50-4446-A3CF-9ED5C7525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940047"/>
        <c:axId val="1774936687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CUAP!$AH$2</c15:sqref>
                        </c15:formulaRef>
                      </c:ext>
                    </c:extLst>
                    <c:strCache>
                      <c:ptCount val="1"/>
                      <c:pt idx="0">
                        <c:v>Exp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CUAP!$AH$3:$AH$45</c15:sqref>
                        </c15:formulaRef>
                      </c:ext>
                    </c:extLst>
                    <c:numCache>
                      <c:formatCode>General</c:formatCode>
                      <c:ptCount val="43"/>
                      <c:pt idx="0">
                        <c:v>-4.0324475245786529E-2</c:v>
                      </c:pt>
                      <c:pt idx="1">
                        <c:v>-8.2275013795421126E-2</c:v>
                      </c:pt>
                      <c:pt idx="2">
                        <c:v>-0.12591718579834787</c:v>
                      </c:pt>
                      <c:pt idx="3">
                        <c:v>-0.17131920548587898</c:v>
                      </c:pt>
                      <c:pt idx="4">
                        <c:v>-0.21855203779240862</c:v>
                      </c:pt>
                      <c:pt idx="5">
                        <c:v>-0.26768950927607138</c:v>
                      </c:pt>
                      <c:pt idx="6">
                        <c:v>-0.3188084235122175</c:v>
                      </c:pt>
                      <c:pt idx="7">
                        <c:v>-0.37198868114007078</c:v>
                      </c:pt>
                      <c:pt idx="8">
                        <c:v>-0.42731340475020274</c:v>
                      </c:pt>
                      <c:pt idx="9">
                        <c:v>-0.48486906880803171</c:v>
                      </c:pt>
                      <c:pt idx="10">
                        <c:v>-0.54474563481641525</c:v>
                      </c:pt>
                      <c:pt idx="11">
                        <c:v>-0.60703669192860654</c:v>
                      </c:pt>
                      <c:pt idx="12">
                        <c:v>-0.67183960323135228</c:v>
                      </c:pt>
                      <c:pt idx="13">
                        <c:v>-0.73925565792678039</c:v>
                      </c:pt>
                      <c:pt idx="14">
                        <c:v>-0.8093902296509432</c:v>
                      </c:pt>
                      <c:pt idx="15">
                        <c:v>-0.88235294117647056</c:v>
                      </c:pt>
                      <c:pt idx="16">
                        <c:v>-0.95825783575677459</c:v>
                      </c:pt>
                      <c:pt idx="17">
                        <c:v>-1.0372235553796165</c:v>
                      </c:pt>
                      <c:pt idx="18">
                        <c:v>-1.1193735262086548</c:v>
                      </c:pt>
                      <c:pt idx="19">
                        <c:v>-1.204836151502831</c:v>
                      </c:pt>
                      <c:pt idx="20">
                        <c:v>-1.2937450123151222</c:v>
                      </c:pt>
                      <c:pt idx="21">
                        <c:v>-1.3862390762843697</c:v>
                      </c:pt>
                      <c:pt idx="22">
                        <c:v>-1.4824629148465269</c:v>
                      </c:pt>
                      <c:pt idx="23">
                        <c:v>-1.5825669292048392</c:v>
                      </c:pt>
                      <c:pt idx="24">
                        <c:v>-1.6867075854121465</c:v>
                      </c:pt>
                      <c:pt idx="25">
                        <c:v>-1.7950476589327655</c:v>
                      </c:pt>
                      <c:pt idx="26">
                        <c:v>-1.9077564890661933</c:v>
                      </c:pt>
                      <c:pt idx="27">
                        <c:v>-2.0250102436303181</c:v>
                      </c:pt>
                      <c:pt idx="28">
                        <c:v>-2.1469921943178401</c:v>
                      </c:pt>
                      <c:pt idx="29">
                        <c:v>-2.2738930031562932</c:v>
                      </c:pt>
                      <c:pt idx="30">
                        <c:v>-2.4059110205194227</c:v>
                      </c:pt>
                      <c:pt idx="31">
                        <c:v>-2.5432525951557095</c:v>
                      </c:pt>
                      <c:pt idx="32">
                        <c:v>-2.6861323967186346</c:v>
                      </c:pt>
                      <c:pt idx="33">
                        <c:v>-2.8347737513028068</c:v>
                      </c:pt>
                      <c:pt idx="34">
                        <c:v>-2.9894089905104089</c:v>
                      </c:pt>
                      <c:pt idx="35">
                        <c:v>-3.1502798145935644</c:v>
                      </c:pt>
                      <c:pt idx="36">
                        <c:v>-3.3176376702402299</c:v>
                      </c:pt>
                      <c:pt idx="37">
                        <c:v>-3.4917441435941079</c:v>
                      </c:pt>
                      <c:pt idx="38">
                        <c:v>-3.6728713691228752</c:v>
                      </c:pt>
                      <c:pt idx="39">
                        <c:v>-3.8613024549738144</c:v>
                      </c:pt>
                      <c:pt idx="40">
                        <c:v>-4.0573319254816873</c:v>
                      </c:pt>
                      <c:pt idx="41">
                        <c:v>-4.2612661815205</c:v>
                      </c:pt>
                      <c:pt idx="42">
                        <c:v>-4.4734239794187172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5F9-4049-BA3A-4382DF311DE0}"/>
                  </c:ext>
                </c:extLst>
              </c15:ser>
            </c15:filteredLineSeries>
          </c:ext>
        </c:extLst>
      </c:lineChart>
      <c:catAx>
        <c:axId val="177494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936687"/>
        <c:crosses val="autoZero"/>
        <c:auto val="1"/>
        <c:lblAlgn val="ctr"/>
        <c:lblOffset val="100"/>
        <c:noMultiLvlLbl val="0"/>
      </c:catAx>
      <c:valAx>
        <c:axId val="177493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7494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Probabilida</a:t>
            </a:r>
            <a:r>
              <a:rPr lang="es-ES" baseline="0"/>
              <a:t>d de default acumulada de soberanos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CUAP!$BB$2</c:f>
              <c:strCache>
                <c:ptCount val="1"/>
                <c:pt idx="0">
                  <c:v>PD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CUAP!$BA$3:$BA$33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cat>
          <c:val>
            <c:numRef>
              <c:f>CUAP!$BB$3:$BB$33</c:f>
              <c:numCache>
                <c:formatCode>General</c:formatCode>
                <c:ptCount val="31"/>
                <c:pt idx="0">
                  <c:v>0</c:v>
                </c:pt>
                <c:pt idx="1">
                  <c:v>0.25</c:v>
                </c:pt>
                <c:pt idx="2">
                  <c:v>0.34375</c:v>
                </c:pt>
                <c:pt idx="3">
                  <c:v>0.34545454545454546</c:v>
                </c:pt>
                <c:pt idx="4">
                  <c:v>0.35416666666666674</c:v>
                </c:pt>
                <c:pt idx="5">
                  <c:v>0.41025641025641024</c:v>
                </c:pt>
                <c:pt idx="6">
                  <c:v>0.41176470588235303</c:v>
                </c:pt>
                <c:pt idx="7">
                  <c:v>0.45454545454545447</c:v>
                </c:pt>
                <c:pt idx="8">
                  <c:v>0.46875</c:v>
                </c:pt>
                <c:pt idx="9">
                  <c:v>0.48258463541666674</c:v>
                </c:pt>
                <c:pt idx="10">
                  <c:v>0.4960589938693577</c:v>
                </c:pt>
                <c:pt idx="11">
                  <c:v>0.50918245757067648</c:v>
                </c:pt>
                <c:pt idx="12">
                  <c:v>0.52196416440477367</c:v>
                </c:pt>
                <c:pt idx="13">
                  <c:v>0.53441301429006594</c:v>
                </c:pt>
                <c:pt idx="14">
                  <c:v>0.54653767537626219</c:v>
                </c:pt>
                <c:pt idx="15">
                  <c:v>0.55834659008000531</c:v>
                </c:pt>
                <c:pt idx="16">
                  <c:v>0.56984798096333855</c:v>
                </c:pt>
                <c:pt idx="17">
                  <c:v>0.58104985645908513</c:v>
                </c:pt>
                <c:pt idx="18">
                  <c:v>0.5919600164471297</c:v>
                </c:pt>
                <c:pt idx="19">
                  <c:v>0.60258605768548579</c:v>
                </c:pt>
                <c:pt idx="20">
                  <c:v>0.61293537909992635</c:v>
                </c:pt>
                <c:pt idx="21">
                  <c:v>0.62301518693586577</c:v>
                </c:pt>
                <c:pt idx="22">
                  <c:v>0.63283249977607747</c:v>
                </c:pt>
                <c:pt idx="23">
                  <c:v>0.6423941534277422</c:v>
                </c:pt>
                <c:pt idx="24">
                  <c:v>0.65170680568222816</c:v>
                </c:pt>
                <c:pt idx="25">
                  <c:v>0.6607769409509201</c:v>
                </c:pt>
                <c:pt idx="26">
                  <c:v>0.66961087478032333</c:v>
                </c:pt>
                <c:pt idx="27">
                  <c:v>0.67821475824958577</c:v>
                </c:pt>
                <c:pt idx="28">
                  <c:v>0.68659458225350278</c:v>
                </c:pt>
                <c:pt idx="29">
                  <c:v>0.69475618167398445</c:v>
                </c:pt>
                <c:pt idx="30">
                  <c:v>0.70270523944289121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ED-452F-B18C-C4BCE0C78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500992"/>
        <c:axId val="48507232"/>
      </c:lineChart>
      <c:catAx>
        <c:axId val="48500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Periodos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07232"/>
        <c:crosses val="autoZero"/>
        <c:auto val="1"/>
        <c:lblAlgn val="ctr"/>
        <c:lblOffset val="100"/>
        <c:noMultiLvlLbl val="0"/>
      </c:catAx>
      <c:valAx>
        <c:axId val="4850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Probabilidad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850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106680</xdr:colOff>
      <xdr:row>16</xdr:row>
      <xdr:rowOff>85725</xdr:rowOff>
    </xdr:from>
    <xdr:to>
      <xdr:col>65</xdr:col>
      <xdr:colOff>411480</xdr:colOff>
      <xdr:row>31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3179-1A8F-5E5A-FBB2-7051A1EB3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213360</xdr:colOff>
      <xdr:row>1</xdr:row>
      <xdr:rowOff>64770</xdr:rowOff>
    </xdr:from>
    <xdr:to>
      <xdr:col>61</xdr:col>
      <xdr:colOff>518160</xdr:colOff>
      <xdr:row>16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A7E67C-FBB7-DE9C-50D3-E7E9DD7FD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03"/>
  <sheetViews>
    <sheetView tabSelected="1" topLeftCell="AG15" workbookViewId="0">
      <selection activeCell="AS34" sqref="AS34"/>
    </sheetView>
  </sheetViews>
  <sheetFormatPr defaultRowHeight="14.4" x14ac:dyDescent="0.3"/>
  <cols>
    <col min="1" max="9" width="20" customWidth="1"/>
    <col min="17" max="17" width="12.6640625" bestFit="1" customWidth="1"/>
    <col min="18" max="18" width="9.109375" bestFit="1" customWidth="1"/>
    <col min="21" max="21" width="12.6640625" bestFit="1" customWidth="1"/>
    <col min="22" max="22" width="9.1093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L1" s="3"/>
      <c r="Q1" t="s">
        <v>9</v>
      </c>
      <c r="R1">
        <v>0.4</v>
      </c>
      <c r="U1" t="s">
        <v>9</v>
      </c>
      <c r="V1">
        <v>0.4</v>
      </c>
    </row>
    <row r="2" spans="1:54" x14ac:dyDescent="0.3">
      <c r="B2" s="1">
        <v>45473</v>
      </c>
      <c r="I2">
        <f>-20230</f>
        <v>-20230</v>
      </c>
      <c r="J2" s="6"/>
      <c r="K2" s="6"/>
      <c r="L2" s="14">
        <f>XIRR(I2:I45,B2:B45)</f>
        <v>9.06370669603348E-2</v>
      </c>
      <c r="N2">
        <v>1.105</v>
      </c>
      <c r="R2">
        <f>I2</f>
        <v>-20230</v>
      </c>
      <c r="S2" s="5">
        <f>XIRR(R2:R45,B2:B45)</f>
        <v>5.7582405209541332E-2</v>
      </c>
      <c r="V2">
        <f>I2</f>
        <v>-20230</v>
      </c>
      <c r="W2" s="5">
        <f>XIRR(V2:V45,B2:B45)</f>
        <v>6.6996875405311601E-2</v>
      </c>
      <c r="Y2" s="7" t="s">
        <v>8</v>
      </c>
      <c r="AD2" t="s">
        <v>12</v>
      </c>
      <c r="AE2" t="s">
        <v>11</v>
      </c>
      <c r="AH2" t="s">
        <v>10</v>
      </c>
      <c r="AR2" t="s">
        <v>27</v>
      </c>
      <c r="AS2" t="s">
        <v>28</v>
      </c>
      <c r="AT2" t="s">
        <v>29</v>
      </c>
      <c r="AU2" t="s">
        <v>30</v>
      </c>
      <c r="AW2" t="s">
        <v>25</v>
      </c>
      <c r="AX2" t="s">
        <v>26</v>
      </c>
      <c r="BB2" t="s">
        <v>31</v>
      </c>
    </row>
    <row r="3" spans="1:54" x14ac:dyDescent="0.3">
      <c r="A3" t="s">
        <v>7</v>
      </c>
      <c r="B3" s="1">
        <v>45657</v>
      </c>
      <c r="C3">
        <v>100</v>
      </c>
      <c r="D3">
        <v>100</v>
      </c>
      <c r="E3">
        <f>$H$47</f>
        <v>38602.534000000007</v>
      </c>
      <c r="F3">
        <v>638.87199999999996</v>
      </c>
      <c r="G3">
        <f>F3/E3</f>
        <v>1.6550001613883685E-2</v>
      </c>
      <c r="H3">
        <v>0</v>
      </c>
      <c r="I3">
        <v>638.87199999999996</v>
      </c>
      <c r="J3">
        <v>6</v>
      </c>
      <c r="K3">
        <f>J3/12</f>
        <v>0.5</v>
      </c>
      <c r="L3">
        <f t="shared" ref="L3:L45" si="0">I3/POWER($N$2,J3/12)</f>
        <v>607.76084274693983</v>
      </c>
      <c r="M3">
        <f>SUM(L3:L45)</f>
        <v>17591.816396058653</v>
      </c>
      <c r="Q3" s="10">
        <f t="shared" ref="Q3:Q45" si="1">$R$1*(I3+E3)</f>
        <v>15696.562400000004</v>
      </c>
      <c r="R3">
        <f>AF3*Q3+I3*(1-AE3)</f>
        <v>2521.0833000000002</v>
      </c>
      <c r="U3" s="10">
        <f t="shared" ref="U3:U45" si="2">$V$1*(I3+E3)</f>
        <v>15696.562400000004</v>
      </c>
      <c r="V3">
        <f>AU4*U3+I3*(1-AT4)</f>
        <v>2656.2199912789342</v>
      </c>
      <c r="X3">
        <v>1</v>
      </c>
      <c r="Y3" s="8">
        <v>25</v>
      </c>
      <c r="Z3" s="4">
        <f>Y3/100</f>
        <v>0.25</v>
      </c>
      <c r="AA3">
        <f>Y3/100</f>
        <v>0.25</v>
      </c>
      <c r="AB3">
        <v>1.5</v>
      </c>
      <c r="AC3">
        <f>(AA4-AA3)*0.5+AA3</f>
        <v>0.296875</v>
      </c>
      <c r="AD3">
        <v>0.5</v>
      </c>
      <c r="AE3">
        <f>AE4/2</f>
        <v>0.125</v>
      </c>
      <c r="AF3">
        <v>0.125</v>
      </c>
      <c r="AH3">
        <f t="shared" ref="AH3:AH45" si="3">1-EXP($AG$18*AD3)</f>
        <v>-4.0324475245786529E-2</v>
      </c>
      <c r="AJ3">
        <v>0</v>
      </c>
      <c r="AK3">
        <v>1</v>
      </c>
      <c r="AL3">
        <v>0</v>
      </c>
      <c r="AN3">
        <v>0</v>
      </c>
      <c r="AP3">
        <f>LN(AK3)</f>
        <v>0</v>
      </c>
      <c r="AR3">
        <v>0</v>
      </c>
      <c r="AS3">
        <f t="shared" ref="AS3:AS19" si="4">_xlfn.XLOOKUP(AR3,$AJ$3:$AJ$11,$AK$3:$AK$11,_xlfn.XLOOKUP(AR3,$AJ$14:$AJ$22,$AK$14:$AK$22))</f>
        <v>1</v>
      </c>
      <c r="AT3">
        <f>1-AS3</f>
        <v>0</v>
      </c>
      <c r="AU3">
        <v>0</v>
      </c>
      <c r="AW3">
        <v>0</v>
      </c>
      <c r="AX3">
        <v>0</v>
      </c>
      <c r="AY3" s="13"/>
      <c r="BA3">
        <v>0</v>
      </c>
      <c r="BB3" cm="1">
        <f t="array" ref="BB3:BB34">_xlfn.XLOOKUP(BA3:BA34,AR3:AR203,AT3:AT203)</f>
        <v>0</v>
      </c>
    </row>
    <row r="4" spans="1:54" x14ac:dyDescent="0.3">
      <c r="A4" t="s">
        <v>7</v>
      </c>
      <c r="B4" s="1">
        <v>45838</v>
      </c>
      <c r="C4">
        <v>100</v>
      </c>
      <c r="D4">
        <v>100</v>
      </c>
      <c r="E4">
        <f t="shared" ref="E4:E25" si="5">$H$47</f>
        <v>38602.534000000007</v>
      </c>
      <c r="F4">
        <v>638.87199999999996</v>
      </c>
      <c r="G4">
        <v>1.6549999999999999E-2</v>
      </c>
      <c r="H4">
        <v>0</v>
      </c>
      <c r="I4">
        <v>638.87199999999996</v>
      </c>
      <c r="J4">
        <v>12</v>
      </c>
      <c r="K4">
        <f t="shared" ref="K4:K45" si="6">J4/12</f>
        <v>1</v>
      </c>
      <c r="L4">
        <f t="shared" si="0"/>
        <v>578.16470588235291</v>
      </c>
      <c r="Q4" s="10">
        <f t="shared" si="1"/>
        <v>15696.562400000004</v>
      </c>
      <c r="R4">
        <f t="shared" ref="R4:R45" si="7">AF4*Q4+I4*(1-AE4)</f>
        <v>2441.2243000000008</v>
      </c>
      <c r="U4" s="10">
        <f t="shared" si="2"/>
        <v>15696.562400000004</v>
      </c>
      <c r="V4">
        <f t="shared" ref="V4:V45" si="8">AU5*U4+I4*(1-AT5)</f>
        <v>2300.3539904876388</v>
      </c>
      <c r="X4">
        <v>2</v>
      </c>
      <c r="Y4" s="8">
        <v>34.375</v>
      </c>
      <c r="Z4" s="4">
        <f>(Y4-Y3)/100</f>
        <v>9.375E-2</v>
      </c>
      <c r="AA4">
        <f t="shared" ref="AA4:AA23" si="9">Y4/100</f>
        <v>0.34375</v>
      </c>
      <c r="AB4">
        <v>2.5</v>
      </c>
      <c r="AC4">
        <f t="shared" ref="AC4:AC22" si="10">(AA5-AA4)*0.5+AA4</f>
        <v>0.34460227272727273</v>
      </c>
      <c r="AD4">
        <v>1</v>
      </c>
      <c r="AE4">
        <f>_xlfn.XLOOKUP(AD4,$X$3:$X$23,$AA$3:$AA$23,_xlfn.XLOOKUP(AD4,$AB$3:$AB$23,$AC$3:$AC$23))</f>
        <v>0.25</v>
      </c>
      <c r="AF4">
        <f>AE4-AE3</f>
        <v>0.125</v>
      </c>
      <c r="AH4">
        <f t="shared" si="3"/>
        <v>-8.2275013795421126E-2</v>
      </c>
      <c r="AJ4">
        <v>1</v>
      </c>
      <c r="AK4">
        <v>0.75</v>
      </c>
      <c r="AL4">
        <f>Y3/100</f>
        <v>0.25</v>
      </c>
      <c r="AM4">
        <f>(AL4-AL3)/AK3</f>
        <v>0.25</v>
      </c>
      <c r="AN4">
        <f>-LN(1-AM4)</f>
        <v>0.2876820724517809</v>
      </c>
      <c r="AO4">
        <f>-LN(AK4/AK3)</f>
        <v>0.2876820724517809</v>
      </c>
      <c r="AP4">
        <f>LN(AK4)</f>
        <v>-0.2876820724517809</v>
      </c>
      <c r="AR4">
        <v>0.5</v>
      </c>
      <c r="AS4">
        <f t="shared" si="4"/>
        <v>0.86602540378443871</v>
      </c>
      <c r="AT4">
        <f t="shared" ref="AT4:AT67" si="11">1-AS4</f>
        <v>0.13397459621556129</v>
      </c>
      <c r="AU4">
        <f>AT4-AT3</f>
        <v>0.13397459621556129</v>
      </c>
      <c r="AV4" t="b">
        <f>AS4&lt;=AS3</f>
        <v>1</v>
      </c>
      <c r="AW4">
        <v>0.13397459621556129</v>
      </c>
      <c r="AX4">
        <v>0.15349210999999999</v>
      </c>
      <c r="BA4">
        <v>1</v>
      </c>
      <c r="BB4">
        <v>0.25</v>
      </c>
    </row>
    <row r="5" spans="1:54" x14ac:dyDescent="0.3">
      <c r="A5" t="s">
        <v>7</v>
      </c>
      <c r="B5" s="1">
        <v>46022</v>
      </c>
      <c r="C5">
        <v>100</v>
      </c>
      <c r="D5">
        <v>100</v>
      </c>
      <c r="E5">
        <f t="shared" si="5"/>
        <v>38602.534000000007</v>
      </c>
      <c r="F5">
        <v>638.87199999999996</v>
      </c>
      <c r="G5">
        <f>E5*G4</f>
        <v>638.8719377000001</v>
      </c>
      <c r="H5">
        <v>0</v>
      </c>
      <c r="I5">
        <v>638.87199999999996</v>
      </c>
      <c r="J5">
        <v>18</v>
      </c>
      <c r="K5">
        <f t="shared" si="6"/>
        <v>1.5</v>
      </c>
      <c r="L5">
        <f t="shared" si="0"/>
        <v>550.00981244066963</v>
      </c>
      <c r="Q5" s="10">
        <f t="shared" si="1"/>
        <v>15696.562400000004</v>
      </c>
      <c r="R5">
        <f>AF5*Q5+I5*(1-AE5)</f>
        <v>1184.9832375000001</v>
      </c>
      <c r="U5" s="10">
        <f t="shared" si="2"/>
        <v>15696.562400000004</v>
      </c>
      <c r="V5">
        <f t="shared" si="8"/>
        <v>1208.5370788284254</v>
      </c>
      <c r="X5">
        <v>3</v>
      </c>
      <c r="Y5" s="8">
        <v>34.545454545454554</v>
      </c>
      <c r="Z5" s="4">
        <f t="shared" ref="Z5:Z23" si="12">(Y5-Y4)/100</f>
        <v>1.7045454545455386E-3</v>
      </c>
      <c r="AA5">
        <f t="shared" si="9"/>
        <v>0.34545454545454551</v>
      </c>
      <c r="AB5">
        <v>3.5</v>
      </c>
      <c r="AC5">
        <f t="shared" si="10"/>
        <v>0.3498106060606061</v>
      </c>
      <c r="AD5">
        <v>1.5</v>
      </c>
      <c r="AE5">
        <f t="shared" ref="AE5:AE18" si="13">_xlfn.XLOOKUP(AD5,$X$3:$X$23,$AA$3:$AA$23,_xlfn.XLOOKUP(AD5,$AB$3:$AB$23,$AC$3:$AC$23))</f>
        <v>0.296875</v>
      </c>
      <c r="AF5">
        <f>AE5-AE4</f>
        <v>4.6875E-2</v>
      </c>
      <c r="AH5">
        <f t="shared" si="3"/>
        <v>-0.12591718579834787</v>
      </c>
      <c r="AJ5">
        <v>2</v>
      </c>
      <c r="AK5">
        <v>0.65625</v>
      </c>
      <c r="AL5">
        <f t="shared" ref="AL5:AL11" si="14">Y4/100</f>
        <v>0.34375</v>
      </c>
      <c r="AM5">
        <f t="shared" ref="AM5:AM10" si="15">(AL5-AL4)/AK4</f>
        <v>0.125</v>
      </c>
      <c r="AN5">
        <f t="shared" ref="AN5:AN10" si="16">-LN(1-AM5)</f>
        <v>0.13353139262452263</v>
      </c>
      <c r="AO5">
        <f>-LN(AK5/AK4)</f>
        <v>0.13353139262452263</v>
      </c>
      <c r="AP5">
        <f t="shared" ref="AP5:AP11" si="17">LN(AK5)</f>
        <v>-0.42121346507630353</v>
      </c>
      <c r="AR5">
        <v>1</v>
      </c>
      <c r="AS5">
        <f t="shared" si="4"/>
        <v>0.75</v>
      </c>
      <c r="AT5">
        <f t="shared" si="11"/>
        <v>0.25</v>
      </c>
      <c r="AU5">
        <f t="shared" ref="AU5:AU68" si="18">AT5-AT4</f>
        <v>0.11602540378443871</v>
      </c>
      <c r="AV5" t="b">
        <f t="shared" ref="AV5:AV46" si="19">AS5&lt;=AS4</f>
        <v>1</v>
      </c>
      <c r="AW5">
        <v>0.25</v>
      </c>
      <c r="AX5">
        <v>0.25</v>
      </c>
      <c r="BA5">
        <v>2</v>
      </c>
      <c r="BB5">
        <v>0.34375</v>
      </c>
    </row>
    <row r="6" spans="1:54" x14ac:dyDescent="0.3">
      <c r="A6" t="s">
        <v>7</v>
      </c>
      <c r="B6" s="1">
        <v>46203</v>
      </c>
      <c r="C6">
        <v>100</v>
      </c>
      <c r="D6">
        <v>100</v>
      </c>
      <c r="E6">
        <f t="shared" si="5"/>
        <v>38602.534000000007</v>
      </c>
      <c r="F6">
        <v>638.87199999999996</v>
      </c>
      <c r="G6">
        <f>G4*H48</f>
        <v>638.93062399999997</v>
      </c>
      <c r="H6">
        <v>0</v>
      </c>
      <c r="I6" s="2">
        <v>638.87199999999996</v>
      </c>
      <c r="J6">
        <v>24</v>
      </c>
      <c r="K6">
        <f t="shared" si="6"/>
        <v>2</v>
      </c>
      <c r="L6">
        <f t="shared" si="0"/>
        <v>523.22597817407507</v>
      </c>
      <c r="Q6" s="10">
        <f t="shared" si="1"/>
        <v>15696.562400000004</v>
      </c>
      <c r="R6" s="12">
        <f>AF6*Q6+I6*(1-AE6)</f>
        <v>1155.0361125000002</v>
      </c>
      <c r="U6" s="10">
        <f t="shared" si="2"/>
        <v>15696.562400000004</v>
      </c>
      <c r="V6">
        <f t="shared" si="8"/>
        <v>1130.4829220471452</v>
      </c>
      <c r="X6">
        <v>4</v>
      </c>
      <c r="Y6" s="8">
        <v>35.416666666666671</v>
      </c>
      <c r="Z6" s="4">
        <f t="shared" si="12"/>
        <v>8.7121212121211763E-3</v>
      </c>
      <c r="AA6">
        <f t="shared" si="9"/>
        <v>0.35416666666666674</v>
      </c>
      <c r="AB6">
        <v>4.5</v>
      </c>
      <c r="AC6">
        <f t="shared" si="10"/>
        <v>0.38221153846153849</v>
      </c>
      <c r="AD6">
        <v>2</v>
      </c>
      <c r="AE6">
        <f t="shared" si="13"/>
        <v>0.34375</v>
      </c>
      <c r="AF6">
        <f t="shared" ref="AF6:AF45" si="20">AE6-AE5</f>
        <v>4.6875E-2</v>
      </c>
      <c r="AH6">
        <f t="shared" si="3"/>
        <v>-0.17131920548587898</v>
      </c>
      <c r="AJ6">
        <v>3</v>
      </c>
      <c r="AK6">
        <v>0.65454545454545454</v>
      </c>
      <c r="AL6">
        <f t="shared" si="14"/>
        <v>0.34545454545454551</v>
      </c>
      <c r="AM6">
        <f t="shared" si="15"/>
        <v>2.597402597402688E-3</v>
      </c>
      <c r="AN6">
        <f t="shared" si="16"/>
        <v>2.6007817000574785E-3</v>
      </c>
      <c r="AO6">
        <f t="shared" ref="AO6:AO11" si="21">-LN(AK6/AK5)</f>
        <v>2.6007817000573675E-3</v>
      </c>
      <c r="AP6">
        <f t="shared" si="17"/>
        <v>-0.42381424677636093</v>
      </c>
      <c r="AR6">
        <v>1.5</v>
      </c>
      <c r="AS6">
        <f t="shared" si="4"/>
        <v>0.70156076002011403</v>
      </c>
      <c r="AT6">
        <f t="shared" si="11"/>
        <v>0.29843923997988597</v>
      </c>
      <c r="AU6">
        <f t="shared" si="18"/>
        <v>4.8439239979885973E-2</v>
      </c>
      <c r="AV6" t="b">
        <f t="shared" si="19"/>
        <v>1</v>
      </c>
      <c r="AW6">
        <v>0.29843923997988597</v>
      </c>
      <c r="AX6">
        <v>0.31381632999999998</v>
      </c>
      <c r="BA6">
        <v>3</v>
      </c>
      <c r="BB6">
        <v>0.34545454545454546</v>
      </c>
    </row>
    <row r="7" spans="1:54" x14ac:dyDescent="0.3">
      <c r="A7" t="s">
        <v>7</v>
      </c>
      <c r="B7" s="1">
        <v>46387</v>
      </c>
      <c r="C7">
        <v>100</v>
      </c>
      <c r="D7">
        <v>100</v>
      </c>
      <c r="E7">
        <f t="shared" si="5"/>
        <v>38602.534000000007</v>
      </c>
      <c r="F7">
        <v>638.87199999999996</v>
      </c>
      <c r="H7">
        <v>0</v>
      </c>
      <c r="I7">
        <v>638.87199999999996</v>
      </c>
      <c r="J7">
        <v>30</v>
      </c>
      <c r="K7">
        <f t="shared" si="6"/>
        <v>2.5</v>
      </c>
      <c r="L7">
        <f t="shared" si="0"/>
        <v>497.74643659789098</v>
      </c>
      <c r="Q7" s="10">
        <f t="shared" si="1"/>
        <v>15696.562400000004</v>
      </c>
      <c r="R7">
        <f t="shared" si="7"/>
        <v>432.09300886363638</v>
      </c>
      <c r="U7" s="10">
        <f t="shared" si="2"/>
        <v>15696.562400000004</v>
      </c>
      <c r="V7">
        <f t="shared" si="8"/>
        <v>432.10135298866095</v>
      </c>
      <c r="X7">
        <v>5</v>
      </c>
      <c r="Y7" s="8">
        <v>41.025641025641022</v>
      </c>
      <c r="Z7" s="4">
        <f t="shared" si="12"/>
        <v>5.6089743589743508E-2</v>
      </c>
      <c r="AA7">
        <f t="shared" si="9"/>
        <v>0.41025641025641024</v>
      </c>
      <c r="AB7">
        <v>5.5</v>
      </c>
      <c r="AC7">
        <f t="shared" si="10"/>
        <v>0.41101055806938158</v>
      </c>
      <c r="AD7">
        <v>2.5</v>
      </c>
      <c r="AE7">
        <f t="shared" si="13"/>
        <v>0.34460227272727273</v>
      </c>
      <c r="AF7">
        <f t="shared" si="20"/>
        <v>8.5227272727272929E-4</v>
      </c>
      <c r="AH7">
        <f t="shared" si="3"/>
        <v>-0.21855203779240862</v>
      </c>
      <c r="AJ7">
        <v>4</v>
      </c>
      <c r="AK7">
        <v>0.64583333333333326</v>
      </c>
      <c r="AL7">
        <f t="shared" si="14"/>
        <v>0.35416666666666674</v>
      </c>
      <c r="AM7">
        <f t="shared" si="15"/>
        <v>1.3310185185185208E-2</v>
      </c>
      <c r="AN7">
        <f t="shared" si="16"/>
        <v>1.3399559646383811E-2</v>
      </c>
      <c r="AO7">
        <f t="shared" si="21"/>
        <v>1.3399559646383924E-2</v>
      </c>
      <c r="AP7">
        <f>LN(AK7)</f>
        <v>-0.43721380642274482</v>
      </c>
      <c r="AR7">
        <v>2</v>
      </c>
      <c r="AS7">
        <f t="shared" si="4"/>
        <v>0.65625</v>
      </c>
      <c r="AT7">
        <f t="shared" si="11"/>
        <v>0.34375</v>
      </c>
      <c r="AU7">
        <f t="shared" si="18"/>
        <v>4.5310760020114027E-2</v>
      </c>
      <c r="AV7" t="b">
        <f t="shared" si="19"/>
        <v>1</v>
      </c>
      <c r="AW7">
        <v>0.34375</v>
      </c>
      <c r="AX7">
        <v>0.34375</v>
      </c>
      <c r="BA7">
        <v>4</v>
      </c>
      <c r="BB7">
        <v>0.35416666666666674</v>
      </c>
    </row>
    <row r="8" spans="1:54" x14ac:dyDescent="0.3">
      <c r="A8" t="s">
        <v>7</v>
      </c>
      <c r="B8" s="1">
        <v>46568</v>
      </c>
      <c r="C8">
        <v>100</v>
      </c>
      <c r="D8">
        <v>100</v>
      </c>
      <c r="E8">
        <f t="shared" si="5"/>
        <v>38602.534000000007</v>
      </c>
      <c r="F8">
        <v>638.87199999999996</v>
      </c>
      <c r="H8">
        <v>0</v>
      </c>
      <c r="I8">
        <v>638.87199999999996</v>
      </c>
      <c r="J8">
        <v>36</v>
      </c>
      <c r="K8">
        <f t="shared" si="6"/>
        <v>3</v>
      </c>
      <c r="L8">
        <f t="shared" si="0"/>
        <v>473.50767255572401</v>
      </c>
      <c r="Q8" s="10">
        <f t="shared" si="1"/>
        <v>15696.562400000004</v>
      </c>
      <c r="R8">
        <f t="shared" si="7"/>
        <v>431.54851568181908</v>
      </c>
      <c r="U8" s="10">
        <f t="shared" si="2"/>
        <v>15696.562400000004</v>
      </c>
      <c r="V8">
        <f t="shared" si="8"/>
        <v>431.53981752986778</v>
      </c>
      <c r="X8">
        <v>6</v>
      </c>
      <c r="Y8" s="8">
        <v>41.176470588235297</v>
      </c>
      <c r="Z8" s="4">
        <f t="shared" si="12"/>
        <v>1.5082956259427505E-3</v>
      </c>
      <c r="AA8">
        <f t="shared" si="9"/>
        <v>0.41176470588235298</v>
      </c>
      <c r="AB8">
        <v>6.5</v>
      </c>
      <c r="AC8">
        <f t="shared" si="10"/>
        <v>0.4331550802139037</v>
      </c>
      <c r="AD8">
        <v>3</v>
      </c>
      <c r="AE8">
        <f t="shared" si="13"/>
        <v>0.34545454545454551</v>
      </c>
      <c r="AF8">
        <f t="shared" si="20"/>
        <v>8.522727272727848E-4</v>
      </c>
      <c r="AH8">
        <f t="shared" si="3"/>
        <v>-0.26768950927607138</v>
      </c>
      <c r="AJ8">
        <v>5</v>
      </c>
      <c r="AK8">
        <v>0.58974358974358976</v>
      </c>
      <c r="AL8">
        <f t="shared" si="14"/>
        <v>0.41025641025641024</v>
      </c>
      <c r="AM8">
        <f t="shared" si="15"/>
        <v>8.6848635235731886E-2</v>
      </c>
      <c r="AN8">
        <f t="shared" si="16"/>
        <v>9.0853623777751857E-2</v>
      </c>
      <c r="AO8">
        <f t="shared" si="21"/>
        <v>9.0853623777751857E-2</v>
      </c>
      <c r="AP8">
        <f t="shared" si="17"/>
        <v>-0.52806743020049673</v>
      </c>
      <c r="AR8">
        <v>2.5</v>
      </c>
      <c r="AS8">
        <f t="shared" si="4"/>
        <v>0.65539717312897727</v>
      </c>
      <c r="AT8">
        <f t="shared" si="11"/>
        <v>0.34460282687102273</v>
      </c>
      <c r="AU8">
        <f t="shared" si="18"/>
        <v>8.5282687102272714E-4</v>
      </c>
      <c r="AV8" t="b">
        <f t="shared" si="19"/>
        <v>1</v>
      </c>
      <c r="AW8">
        <v>0.34460282687102273</v>
      </c>
      <c r="AX8">
        <v>0.34466395</v>
      </c>
      <c r="BA8">
        <v>5</v>
      </c>
      <c r="BB8">
        <v>0.41025641025641024</v>
      </c>
    </row>
    <row r="9" spans="1:54" x14ac:dyDescent="0.3">
      <c r="A9" t="s">
        <v>7</v>
      </c>
      <c r="B9" s="1">
        <v>46752</v>
      </c>
      <c r="C9">
        <v>100</v>
      </c>
      <c r="D9">
        <v>100</v>
      </c>
      <c r="E9">
        <f t="shared" si="5"/>
        <v>38602.534000000007</v>
      </c>
      <c r="F9">
        <v>638.87199999999996</v>
      </c>
      <c r="H9">
        <v>0</v>
      </c>
      <c r="I9">
        <v>638.87199999999996</v>
      </c>
      <c r="J9">
        <v>42</v>
      </c>
      <c r="K9">
        <f t="shared" si="6"/>
        <v>3.5</v>
      </c>
      <c r="L9">
        <f t="shared" si="0"/>
        <v>450.44926388949415</v>
      </c>
      <c r="Q9" s="10">
        <f t="shared" si="1"/>
        <v>15696.562400000004</v>
      </c>
      <c r="R9">
        <f t="shared" si="7"/>
        <v>483.76297560606025</v>
      </c>
      <c r="U9" s="10">
        <f t="shared" si="2"/>
        <v>15696.562400000004</v>
      </c>
      <c r="V9">
        <f t="shared" si="8"/>
        <v>483.98270147331385</v>
      </c>
      <c r="X9">
        <v>7</v>
      </c>
      <c r="Y9" s="8">
        <v>45.454545454545446</v>
      </c>
      <c r="Z9" s="4">
        <f t="shared" si="12"/>
        <v>4.2780748663101491E-2</v>
      </c>
      <c r="AA9">
        <f t="shared" si="9"/>
        <v>0.45454545454545447</v>
      </c>
      <c r="AB9">
        <v>7.5</v>
      </c>
      <c r="AC9">
        <f t="shared" si="10"/>
        <v>0.46164772727272724</v>
      </c>
      <c r="AD9">
        <v>3.5</v>
      </c>
      <c r="AE9">
        <f t="shared" si="13"/>
        <v>0.3498106060606061</v>
      </c>
      <c r="AF9">
        <f t="shared" si="20"/>
        <v>4.3560606060605855E-3</v>
      </c>
      <c r="AH9">
        <f t="shared" si="3"/>
        <v>-0.3188084235122175</v>
      </c>
      <c r="AJ9">
        <v>6</v>
      </c>
      <c r="AK9">
        <v>0.58823529411764697</v>
      </c>
      <c r="AL9">
        <f t="shared" si="14"/>
        <v>0.41176470588235298</v>
      </c>
      <c r="AM9">
        <f t="shared" si="15"/>
        <v>2.5575447570333329E-3</v>
      </c>
      <c r="AN9">
        <f t="shared" si="16"/>
        <v>2.5608208616737039E-3</v>
      </c>
      <c r="AO9">
        <f t="shared" si="21"/>
        <v>2.5608208616738149E-3</v>
      </c>
      <c r="AP9">
        <f t="shared" si="17"/>
        <v>-0.5306282510621706</v>
      </c>
      <c r="AR9">
        <v>3</v>
      </c>
      <c r="AS9">
        <f t="shared" si="4"/>
        <v>0.65454545454545454</v>
      </c>
      <c r="AT9">
        <f t="shared" si="11"/>
        <v>0.34545454545454546</v>
      </c>
      <c r="AU9">
        <f t="shared" si="18"/>
        <v>8.5171858352273144E-4</v>
      </c>
      <c r="AV9" t="b">
        <f t="shared" si="19"/>
        <v>1</v>
      </c>
      <c r="AW9">
        <v>0.34545454545454546</v>
      </c>
      <c r="AX9">
        <v>0.34545453999999998</v>
      </c>
      <c r="BA9">
        <v>6</v>
      </c>
      <c r="BB9">
        <v>0.41176470588235303</v>
      </c>
    </row>
    <row r="10" spans="1:54" x14ac:dyDescent="0.3">
      <c r="A10" t="s">
        <v>7</v>
      </c>
      <c r="B10" s="1">
        <v>46934</v>
      </c>
      <c r="C10">
        <v>100</v>
      </c>
      <c r="D10">
        <v>100</v>
      </c>
      <c r="E10">
        <f t="shared" si="5"/>
        <v>38602.534000000007</v>
      </c>
      <c r="F10">
        <v>638.87199999999996</v>
      </c>
      <c r="H10">
        <v>0</v>
      </c>
      <c r="I10">
        <v>638.87199999999996</v>
      </c>
      <c r="J10">
        <v>48</v>
      </c>
      <c r="K10">
        <f t="shared" si="6"/>
        <v>4</v>
      </c>
      <c r="L10">
        <f t="shared" si="0"/>
        <v>428.51373081965971</v>
      </c>
      <c r="Q10" s="10">
        <f t="shared" si="1"/>
        <v>15696.562400000004</v>
      </c>
      <c r="R10">
        <f>AF10*Q10+I10*(1-AE10)</f>
        <v>480.98001045454595</v>
      </c>
      <c r="U10" s="10">
        <f t="shared" si="2"/>
        <v>15696.562400000004</v>
      </c>
      <c r="V10">
        <f t="shared" si="8"/>
        <v>480.75096199527979</v>
      </c>
      <c r="X10">
        <v>8</v>
      </c>
      <c r="Y10" s="8">
        <v>46.875</v>
      </c>
      <c r="Z10" s="4">
        <f t="shared" si="12"/>
        <v>1.4204545454545539E-2</v>
      </c>
      <c r="AA10">
        <f t="shared" si="9"/>
        <v>0.46875</v>
      </c>
      <c r="AB10">
        <v>8.5</v>
      </c>
      <c r="AC10">
        <f t="shared" si="10"/>
        <v>0.46875</v>
      </c>
      <c r="AD10">
        <v>4</v>
      </c>
      <c r="AE10">
        <f t="shared" si="13"/>
        <v>0.35416666666666674</v>
      </c>
      <c r="AF10">
        <f t="shared" si="20"/>
        <v>4.356060606060641E-3</v>
      </c>
      <c r="AH10">
        <f t="shared" si="3"/>
        <v>-0.37198868114007078</v>
      </c>
      <c r="AJ10">
        <v>7</v>
      </c>
      <c r="AK10">
        <v>0.54545454545454553</v>
      </c>
      <c r="AL10">
        <f t="shared" si="14"/>
        <v>0.45454545454545447</v>
      </c>
      <c r="AM10">
        <f t="shared" si="15"/>
        <v>7.2727272727272557E-2</v>
      </c>
      <c r="AN10">
        <f t="shared" si="16"/>
        <v>7.5507552508144934E-2</v>
      </c>
      <c r="AO10">
        <f>-LN(AK10/AK9)</f>
        <v>7.550755250814481E-2</v>
      </c>
      <c r="AP10">
        <f t="shared" si="17"/>
        <v>-0.60613580357031538</v>
      </c>
      <c r="AR10">
        <v>3.5</v>
      </c>
      <c r="AS10">
        <f t="shared" si="4"/>
        <v>0.65017480167049901</v>
      </c>
      <c r="AT10">
        <f t="shared" si="11"/>
        <v>0.34982519832950099</v>
      </c>
      <c r="AU10">
        <f t="shared" si="18"/>
        <v>4.3706528749555273E-3</v>
      </c>
      <c r="AV10" t="b">
        <f t="shared" si="19"/>
        <v>1</v>
      </c>
      <c r="AW10">
        <v>0.34982519832950099</v>
      </c>
      <c r="AX10">
        <v>0.34827931000000001</v>
      </c>
      <c r="BA10">
        <v>7</v>
      </c>
      <c r="BB10">
        <v>0.45454545454545447</v>
      </c>
    </row>
    <row r="11" spans="1:54" x14ac:dyDescent="0.3">
      <c r="A11" t="s">
        <v>7</v>
      </c>
      <c r="B11" s="1">
        <v>47118</v>
      </c>
      <c r="C11">
        <v>100</v>
      </c>
      <c r="D11">
        <v>100</v>
      </c>
      <c r="E11">
        <f t="shared" si="5"/>
        <v>38602.534000000007</v>
      </c>
      <c r="F11">
        <v>638.87199999999996</v>
      </c>
      <c r="H11">
        <v>0</v>
      </c>
      <c r="I11">
        <v>638.87199999999996</v>
      </c>
      <c r="J11">
        <v>54</v>
      </c>
      <c r="K11">
        <f t="shared" si="6"/>
        <v>4.5</v>
      </c>
      <c r="L11">
        <f t="shared" si="0"/>
        <v>407.64639266017565</v>
      </c>
      <c r="Q11" s="10">
        <f t="shared" si="1"/>
        <v>15696.562400000004</v>
      </c>
      <c r="R11">
        <f t="shared" si="7"/>
        <v>834.89583012820458</v>
      </c>
      <c r="U11" s="10">
        <f t="shared" si="2"/>
        <v>15696.562400000004</v>
      </c>
      <c r="V11">
        <f t="shared" si="8"/>
        <v>844.4858478622275</v>
      </c>
      <c r="X11">
        <v>9</v>
      </c>
      <c r="Y11" s="8">
        <f>Y10</f>
        <v>46.875</v>
      </c>
      <c r="Z11" s="4">
        <f t="shared" si="12"/>
        <v>0</v>
      </c>
      <c r="AA11">
        <f t="shared" si="9"/>
        <v>0.46875</v>
      </c>
      <c r="AB11">
        <v>9.5</v>
      </c>
      <c r="AC11">
        <f t="shared" si="10"/>
        <v>0.46875</v>
      </c>
      <c r="AD11">
        <v>4.5</v>
      </c>
      <c r="AE11">
        <f t="shared" si="13"/>
        <v>0.38221153846153849</v>
      </c>
      <c r="AF11">
        <f t="shared" si="20"/>
        <v>2.8044871794871751E-2</v>
      </c>
      <c r="AH11">
        <f t="shared" si="3"/>
        <v>-0.42731340475020274</v>
      </c>
      <c r="AJ11">
        <v>8</v>
      </c>
      <c r="AK11">
        <v>0.53125</v>
      </c>
      <c r="AL11">
        <f t="shared" si="14"/>
        <v>0.46875</v>
      </c>
      <c r="AM11">
        <f>(AL11-AL10)/AK10</f>
        <v>2.6041666666666793E-2</v>
      </c>
      <c r="AN11">
        <f>-LN(1-AM11)</f>
        <v>2.6386755173194998E-2</v>
      </c>
      <c r="AO11">
        <f t="shared" si="21"/>
        <v>2.6386755173194998E-2</v>
      </c>
      <c r="AP11">
        <f t="shared" si="17"/>
        <v>-0.63252255874351049</v>
      </c>
      <c r="AR11">
        <v>4</v>
      </c>
      <c r="AS11">
        <f t="shared" si="4"/>
        <v>0.64583333333333326</v>
      </c>
      <c r="AT11">
        <f t="shared" si="11"/>
        <v>0.35416666666666674</v>
      </c>
      <c r="AU11">
        <f t="shared" si="18"/>
        <v>4.3414683371657548E-3</v>
      </c>
      <c r="AV11" t="b">
        <f t="shared" si="19"/>
        <v>1</v>
      </c>
      <c r="AW11">
        <v>0.35416666666666674</v>
      </c>
      <c r="AX11">
        <v>0.35416667000000002</v>
      </c>
      <c r="BA11">
        <v>8</v>
      </c>
      <c r="BB11">
        <v>0.46875</v>
      </c>
    </row>
    <row r="12" spans="1:54" x14ac:dyDescent="0.3">
      <c r="A12" t="s">
        <v>7</v>
      </c>
      <c r="B12" s="1">
        <v>47299</v>
      </c>
      <c r="C12">
        <v>100</v>
      </c>
      <c r="D12">
        <v>100</v>
      </c>
      <c r="E12">
        <f t="shared" si="5"/>
        <v>38602.534000000007</v>
      </c>
      <c r="F12">
        <v>638.87199999999996</v>
      </c>
      <c r="H12">
        <v>0</v>
      </c>
      <c r="I12">
        <v>638.87199999999996</v>
      </c>
      <c r="J12">
        <v>60</v>
      </c>
      <c r="K12">
        <f t="shared" si="6"/>
        <v>5</v>
      </c>
      <c r="L12">
        <f t="shared" si="0"/>
        <v>387.79523151100426</v>
      </c>
      <c r="Q12" s="10">
        <f t="shared" si="1"/>
        <v>15696.562400000004</v>
      </c>
      <c r="R12">
        <f t="shared" si="7"/>
        <v>816.97874679487131</v>
      </c>
      <c r="U12" s="10">
        <f t="shared" si="2"/>
        <v>15696.562400000004</v>
      </c>
      <c r="V12">
        <f t="shared" si="8"/>
        <v>806.98184104236634</v>
      </c>
      <c r="X12">
        <v>10</v>
      </c>
      <c r="Y12" s="9">
        <f>Y11</f>
        <v>46.875</v>
      </c>
      <c r="Z12" s="4">
        <f t="shared" si="12"/>
        <v>0</v>
      </c>
      <c r="AA12">
        <f t="shared" si="9"/>
        <v>0.46875</v>
      </c>
      <c r="AB12">
        <v>10.5</v>
      </c>
      <c r="AC12">
        <f t="shared" si="10"/>
        <v>0.46875</v>
      </c>
      <c r="AD12">
        <v>5</v>
      </c>
      <c r="AE12">
        <f t="shared" si="13"/>
        <v>0.41025641025641024</v>
      </c>
      <c r="AF12">
        <f t="shared" si="20"/>
        <v>2.8044871794871751E-2</v>
      </c>
      <c r="AH12">
        <f t="shared" si="3"/>
        <v>-0.48486906880803171</v>
      </c>
      <c r="AR12">
        <v>4.5</v>
      </c>
      <c r="AS12">
        <f>_xlfn.XLOOKUP(AR12,$AJ$3:$AJ$11,$AK$3:$AK$11,_xlfn.XLOOKUP(AR12,$AJ$14:$AJ$22,$AK$14:$AK$22))</f>
        <v>0.61715157649970265</v>
      </c>
      <c r="AT12">
        <f>1-AS12</f>
        <v>0.38284842350029735</v>
      </c>
      <c r="AU12">
        <f t="shared" si="18"/>
        <v>2.8681756833630612E-2</v>
      </c>
      <c r="AV12" t="b">
        <f t="shared" si="19"/>
        <v>1</v>
      </c>
      <c r="AW12">
        <v>0.38284842350029735</v>
      </c>
      <c r="AX12">
        <v>0.38426419000000001</v>
      </c>
      <c r="BA12">
        <v>9</v>
      </c>
      <c r="BB12">
        <v>0.48258463541666674</v>
      </c>
    </row>
    <row r="13" spans="1:54" x14ac:dyDescent="0.3">
      <c r="A13" t="s">
        <v>7</v>
      </c>
      <c r="B13" s="1">
        <v>47483</v>
      </c>
      <c r="C13">
        <v>100</v>
      </c>
      <c r="D13">
        <v>100</v>
      </c>
      <c r="E13">
        <f t="shared" si="5"/>
        <v>38602.534000000007</v>
      </c>
      <c r="F13">
        <v>638.87199999999996</v>
      </c>
      <c r="H13">
        <v>0</v>
      </c>
      <c r="I13">
        <v>638.87199999999996</v>
      </c>
      <c r="J13">
        <v>66</v>
      </c>
      <c r="K13">
        <f t="shared" si="6"/>
        <v>5.5</v>
      </c>
      <c r="L13">
        <f t="shared" si="0"/>
        <v>368.91076258839428</v>
      </c>
      <c r="Q13" s="10">
        <f t="shared" si="1"/>
        <v>15696.562400000004</v>
      </c>
      <c r="R13">
        <f t="shared" si="7"/>
        <v>388.12639095022621</v>
      </c>
      <c r="U13" s="10">
        <f t="shared" si="2"/>
        <v>15696.562400000004</v>
      </c>
      <c r="V13">
        <f t="shared" si="8"/>
        <v>388.13366094314586</v>
      </c>
      <c r="X13">
        <v>11</v>
      </c>
      <c r="Y13" s="8">
        <f t="shared" ref="Y13:Y23" si="22">Y12</f>
        <v>46.875</v>
      </c>
      <c r="Z13" s="4">
        <f t="shared" si="12"/>
        <v>0</v>
      </c>
      <c r="AA13">
        <f t="shared" si="9"/>
        <v>0.46875</v>
      </c>
      <c r="AB13">
        <v>11.5</v>
      </c>
      <c r="AC13">
        <f t="shared" si="10"/>
        <v>0.46875</v>
      </c>
      <c r="AD13">
        <v>5.5</v>
      </c>
      <c r="AE13">
        <f t="shared" si="13"/>
        <v>0.41101055806938158</v>
      </c>
      <c r="AF13">
        <f t="shared" si="20"/>
        <v>7.541478129713397E-4</v>
      </c>
      <c r="AH13">
        <f t="shared" si="3"/>
        <v>-0.54474563481641525</v>
      </c>
      <c r="AR13">
        <v>5</v>
      </c>
      <c r="AS13">
        <f t="shared" si="4"/>
        <v>0.58974358974358976</v>
      </c>
      <c r="AT13">
        <f t="shared" si="11"/>
        <v>0.41025641025641024</v>
      </c>
      <c r="AU13">
        <f t="shared" si="18"/>
        <v>2.740798675611289E-2</v>
      </c>
      <c r="AV13" t="b">
        <f t="shared" si="19"/>
        <v>1</v>
      </c>
      <c r="AW13">
        <v>0.41025641025641024</v>
      </c>
      <c r="AX13">
        <v>0.41025641000000002</v>
      </c>
      <c r="BA13">
        <v>10</v>
      </c>
      <c r="BB13">
        <v>0.4960589938693577</v>
      </c>
    </row>
    <row r="14" spans="1:54" x14ac:dyDescent="0.3">
      <c r="A14" t="s">
        <v>7</v>
      </c>
      <c r="B14" s="1">
        <v>47664</v>
      </c>
      <c r="C14">
        <v>100</v>
      </c>
      <c r="D14">
        <v>100</v>
      </c>
      <c r="E14">
        <f t="shared" si="5"/>
        <v>38602.534000000007</v>
      </c>
      <c r="F14">
        <v>638.87199999999996</v>
      </c>
      <c r="H14">
        <v>0</v>
      </c>
      <c r="I14">
        <v>638.87199999999996</v>
      </c>
      <c r="J14">
        <v>72</v>
      </c>
      <c r="K14">
        <f t="shared" si="6"/>
        <v>6</v>
      </c>
      <c r="L14">
        <f t="shared" si="0"/>
        <v>350.94591086968711</v>
      </c>
      <c r="Q14" s="10">
        <f t="shared" si="1"/>
        <v>15696.562400000004</v>
      </c>
      <c r="R14">
        <f t="shared" si="7"/>
        <v>387.64458702865835</v>
      </c>
      <c r="U14" s="10">
        <f t="shared" si="2"/>
        <v>15696.562400000004</v>
      </c>
      <c r="V14">
        <f t="shared" si="8"/>
        <v>387.63700858239827</v>
      </c>
      <c r="X14">
        <v>12</v>
      </c>
      <c r="Y14" s="9">
        <f t="shared" si="22"/>
        <v>46.875</v>
      </c>
      <c r="Z14" s="4">
        <f t="shared" si="12"/>
        <v>0</v>
      </c>
      <c r="AA14">
        <f t="shared" si="9"/>
        <v>0.46875</v>
      </c>
      <c r="AB14">
        <v>12.5</v>
      </c>
      <c r="AC14">
        <f t="shared" si="10"/>
        <v>0.46875</v>
      </c>
      <c r="AD14">
        <v>6</v>
      </c>
      <c r="AE14">
        <f t="shared" si="13"/>
        <v>0.41176470588235298</v>
      </c>
      <c r="AF14">
        <f t="shared" si="20"/>
        <v>7.5414781297139521E-4</v>
      </c>
      <c r="AH14">
        <f t="shared" si="3"/>
        <v>-0.60703669192860654</v>
      </c>
      <c r="AJ14">
        <f t="shared" ref="AJ14:AJ21" si="23">AJ3+0.5</f>
        <v>0.5</v>
      </c>
      <c r="AK14">
        <f>EXP(($AP$4-$AP$3)*AJ14+$AP$3)</f>
        <v>0.86602540378443871</v>
      </c>
      <c r="AL14">
        <f t="shared" ref="AL14:AL21" si="24">AK3*EXP(-AO4*0.5)</f>
        <v>0.86602540378443871</v>
      </c>
      <c r="AM14" t="b">
        <f>AK14=AL14</f>
        <v>1</v>
      </c>
      <c r="AR14">
        <v>5.5</v>
      </c>
      <c r="AS14">
        <f t="shared" si="4"/>
        <v>0.58898895912132121</v>
      </c>
      <c r="AT14">
        <f t="shared" si="11"/>
        <v>0.41101104087867879</v>
      </c>
      <c r="AU14">
        <f t="shared" si="18"/>
        <v>7.5463062226854838E-4</v>
      </c>
      <c r="AV14" t="b">
        <f t="shared" si="19"/>
        <v>1</v>
      </c>
      <c r="AW14">
        <v>0.41101104087867879</v>
      </c>
      <c r="AX14">
        <v>0.41101306999999998</v>
      </c>
      <c r="BA14">
        <v>11</v>
      </c>
      <c r="BB14">
        <v>0.50918245757067648</v>
      </c>
    </row>
    <row r="15" spans="1:54" x14ac:dyDescent="0.3">
      <c r="A15" t="s">
        <v>7</v>
      </c>
      <c r="B15" s="1">
        <v>47848</v>
      </c>
      <c r="C15">
        <v>100</v>
      </c>
      <c r="D15">
        <v>100</v>
      </c>
      <c r="E15">
        <f t="shared" si="5"/>
        <v>38602.534000000007</v>
      </c>
      <c r="F15">
        <v>638.87199999999996</v>
      </c>
      <c r="H15">
        <v>0</v>
      </c>
      <c r="I15">
        <v>638.87199999999996</v>
      </c>
      <c r="J15">
        <v>78</v>
      </c>
      <c r="K15">
        <f t="shared" si="6"/>
        <v>6.5</v>
      </c>
      <c r="L15">
        <f t="shared" si="0"/>
        <v>333.85589374515325</v>
      </c>
      <c r="Q15" s="10">
        <f t="shared" si="1"/>
        <v>15696.562400000004</v>
      </c>
      <c r="R15">
        <f t="shared" si="7"/>
        <v>697.89669304812719</v>
      </c>
      <c r="U15" s="10">
        <f t="shared" si="2"/>
        <v>15696.562400000004</v>
      </c>
      <c r="V15">
        <f t="shared" si="8"/>
        <v>703.97602096111871</v>
      </c>
      <c r="X15">
        <v>13</v>
      </c>
      <c r="Y15" s="8">
        <f t="shared" si="22"/>
        <v>46.875</v>
      </c>
      <c r="Z15" s="4">
        <f t="shared" si="12"/>
        <v>0</v>
      </c>
      <c r="AA15">
        <f t="shared" si="9"/>
        <v>0.46875</v>
      </c>
      <c r="AB15">
        <v>13.5</v>
      </c>
      <c r="AC15">
        <f t="shared" si="10"/>
        <v>0.46875</v>
      </c>
      <c r="AD15">
        <v>6.5</v>
      </c>
      <c r="AE15">
        <f t="shared" si="13"/>
        <v>0.4331550802139037</v>
      </c>
      <c r="AF15">
        <f t="shared" si="20"/>
        <v>2.1390374331550721E-2</v>
      </c>
      <c r="AH15">
        <f t="shared" si="3"/>
        <v>-0.67183960323135228</v>
      </c>
      <c r="AJ15">
        <f t="shared" si="23"/>
        <v>1.5</v>
      </c>
      <c r="AK15">
        <f t="shared" ref="AK15:AK21" si="25">EXP((AP5-AP4)*0.5+AP4)</f>
        <v>0.70156076002011403</v>
      </c>
      <c r="AL15">
        <f t="shared" si="24"/>
        <v>0.70156076002011403</v>
      </c>
      <c r="AM15" t="b">
        <f t="shared" ref="AM15:AM21" si="26">AK15=AL15</f>
        <v>1</v>
      </c>
      <c r="AR15">
        <v>6</v>
      </c>
      <c r="AS15">
        <f t="shared" si="4"/>
        <v>0.58823529411764697</v>
      </c>
      <c r="AT15">
        <f t="shared" si="11"/>
        <v>0.41176470588235303</v>
      </c>
      <c r="AU15">
        <f t="shared" si="18"/>
        <v>7.5366500367424205E-4</v>
      </c>
      <c r="AV15" t="b">
        <f t="shared" si="19"/>
        <v>1</v>
      </c>
      <c r="AW15">
        <v>0.41176470588235303</v>
      </c>
      <c r="AX15">
        <v>0.41176470999999998</v>
      </c>
      <c r="BA15">
        <v>12</v>
      </c>
      <c r="BB15">
        <v>0.52196416440477367</v>
      </c>
    </row>
    <row r="16" spans="1:54" x14ac:dyDescent="0.3">
      <c r="A16" t="s">
        <v>7</v>
      </c>
      <c r="B16" s="1">
        <v>48029</v>
      </c>
      <c r="C16">
        <v>100</v>
      </c>
      <c r="D16">
        <v>100</v>
      </c>
      <c r="E16">
        <f t="shared" si="5"/>
        <v>38602.534000000007</v>
      </c>
      <c r="F16">
        <v>638.87199999999996</v>
      </c>
      <c r="H16">
        <v>0</v>
      </c>
      <c r="I16">
        <v>638.87199999999996</v>
      </c>
      <c r="J16">
        <v>84</v>
      </c>
      <c r="K16">
        <f t="shared" si="6"/>
        <v>7</v>
      </c>
      <c r="L16">
        <f t="shared" si="0"/>
        <v>317.59810938433219</v>
      </c>
      <c r="Q16" s="10">
        <f t="shared" si="1"/>
        <v>15696.562400000004</v>
      </c>
      <c r="R16">
        <f t="shared" si="7"/>
        <v>684.23098181818159</v>
      </c>
      <c r="U16" s="10">
        <f t="shared" si="2"/>
        <v>15696.562400000004</v>
      </c>
      <c r="V16">
        <f t="shared" si="8"/>
        <v>677.89371843970571</v>
      </c>
      <c r="X16">
        <v>14</v>
      </c>
      <c r="Y16" s="9">
        <f t="shared" si="22"/>
        <v>46.875</v>
      </c>
      <c r="Z16" s="4">
        <f t="shared" si="12"/>
        <v>0</v>
      </c>
      <c r="AA16">
        <f t="shared" si="9"/>
        <v>0.46875</v>
      </c>
      <c r="AB16">
        <v>14.5</v>
      </c>
      <c r="AC16">
        <f t="shared" si="10"/>
        <v>0.46875</v>
      </c>
      <c r="AD16">
        <v>7</v>
      </c>
      <c r="AE16">
        <f t="shared" si="13"/>
        <v>0.45454545454545447</v>
      </c>
      <c r="AF16">
        <f t="shared" si="20"/>
        <v>2.1390374331550777E-2</v>
      </c>
      <c r="AH16">
        <f t="shared" si="3"/>
        <v>-0.73925565792678039</v>
      </c>
      <c r="AJ16">
        <f t="shared" si="23"/>
        <v>2.5</v>
      </c>
      <c r="AK16">
        <f t="shared" si="25"/>
        <v>0.65539717312897727</v>
      </c>
      <c r="AL16">
        <f t="shared" si="24"/>
        <v>0.65539717312897716</v>
      </c>
      <c r="AM16" t="b">
        <f t="shared" si="26"/>
        <v>1</v>
      </c>
      <c r="AR16">
        <v>6.5</v>
      </c>
      <c r="AS16">
        <f t="shared" si="4"/>
        <v>0.56644118403702071</v>
      </c>
      <c r="AT16">
        <f t="shared" si="11"/>
        <v>0.43355881596297929</v>
      </c>
      <c r="AU16">
        <f t="shared" si="18"/>
        <v>2.1794110080626261E-2</v>
      </c>
      <c r="AV16" t="b">
        <f t="shared" si="19"/>
        <v>1</v>
      </c>
      <c r="AW16">
        <v>0.43355881596297929</v>
      </c>
      <c r="AX16">
        <v>0.4311354</v>
      </c>
      <c r="BA16">
        <v>13</v>
      </c>
      <c r="BB16">
        <v>0.53441301429006594</v>
      </c>
    </row>
    <row r="17" spans="1:54" x14ac:dyDescent="0.3">
      <c r="A17" t="s">
        <v>7</v>
      </c>
      <c r="B17" s="1">
        <v>48213</v>
      </c>
      <c r="C17">
        <v>100</v>
      </c>
      <c r="D17">
        <v>100</v>
      </c>
      <c r="E17">
        <f t="shared" si="5"/>
        <v>38602.534000000007</v>
      </c>
      <c r="F17">
        <v>638.87199999999996</v>
      </c>
      <c r="H17">
        <v>0</v>
      </c>
      <c r="I17">
        <v>638.87199999999996</v>
      </c>
      <c r="J17">
        <v>90</v>
      </c>
      <c r="K17">
        <f t="shared" si="6"/>
        <v>7.5</v>
      </c>
      <c r="L17">
        <f t="shared" si="0"/>
        <v>302.13203053860019</v>
      </c>
      <c r="Q17" s="10">
        <f t="shared" si="1"/>
        <v>15696.562400000004</v>
      </c>
      <c r="R17">
        <f t="shared" si="7"/>
        <v>455.41946022727325</v>
      </c>
      <c r="U17" s="10">
        <f t="shared" si="2"/>
        <v>15696.562400000004</v>
      </c>
      <c r="V17">
        <f t="shared" si="8"/>
        <v>456.12492511862132</v>
      </c>
      <c r="X17">
        <v>15</v>
      </c>
      <c r="Y17" s="8">
        <f t="shared" si="22"/>
        <v>46.875</v>
      </c>
      <c r="Z17" s="4">
        <f t="shared" si="12"/>
        <v>0</v>
      </c>
      <c r="AA17">
        <f t="shared" si="9"/>
        <v>0.46875</v>
      </c>
      <c r="AB17">
        <v>15.5</v>
      </c>
      <c r="AC17">
        <f t="shared" si="10"/>
        <v>0.46875</v>
      </c>
      <c r="AD17">
        <v>7.5</v>
      </c>
      <c r="AE17">
        <f t="shared" si="13"/>
        <v>0.46164772727272724</v>
      </c>
      <c r="AF17">
        <f t="shared" si="20"/>
        <v>7.1022727272727626E-3</v>
      </c>
      <c r="AH17">
        <f t="shared" si="3"/>
        <v>-0.8093902296509432</v>
      </c>
      <c r="AJ17">
        <f t="shared" si="23"/>
        <v>3.5</v>
      </c>
      <c r="AK17">
        <f t="shared" si="25"/>
        <v>0.65017480167049901</v>
      </c>
      <c r="AL17">
        <f t="shared" si="24"/>
        <v>0.65017480167049901</v>
      </c>
      <c r="AM17" t="b">
        <f t="shared" si="26"/>
        <v>1</v>
      </c>
      <c r="AR17">
        <v>7</v>
      </c>
      <c r="AS17">
        <f t="shared" si="4"/>
        <v>0.54545454545454553</v>
      </c>
      <c r="AT17">
        <f t="shared" si="11"/>
        <v>0.45454545454545447</v>
      </c>
      <c r="AU17">
        <f t="shared" si="18"/>
        <v>2.0986638582475181E-2</v>
      </c>
      <c r="AV17" t="b">
        <f t="shared" si="19"/>
        <v>1</v>
      </c>
      <c r="AW17">
        <v>0.45454545454545447</v>
      </c>
      <c r="AX17">
        <v>0.45454545000000002</v>
      </c>
      <c r="BA17">
        <v>14</v>
      </c>
      <c r="BB17">
        <v>0.54653767537626219</v>
      </c>
    </row>
    <row r="18" spans="1:54" x14ac:dyDescent="0.3">
      <c r="A18" t="s">
        <v>7</v>
      </c>
      <c r="B18" s="1">
        <v>48395</v>
      </c>
      <c r="C18">
        <v>100</v>
      </c>
      <c r="D18">
        <v>100</v>
      </c>
      <c r="E18">
        <f t="shared" si="5"/>
        <v>38602.534000000007</v>
      </c>
      <c r="F18">
        <v>638.87199999999996</v>
      </c>
      <c r="H18">
        <v>0</v>
      </c>
      <c r="I18">
        <v>638.87199999999996</v>
      </c>
      <c r="J18">
        <v>96</v>
      </c>
      <c r="K18">
        <f t="shared" si="6"/>
        <v>8</v>
      </c>
      <c r="L18">
        <f t="shared" si="0"/>
        <v>287.41910351523279</v>
      </c>
      <c r="Q18" s="10">
        <f t="shared" si="1"/>
        <v>15696.562400000004</v>
      </c>
      <c r="R18">
        <f t="shared" si="7"/>
        <v>450.88201704545509</v>
      </c>
      <c r="U18" s="10">
        <f t="shared" si="2"/>
        <v>15696.562400000004</v>
      </c>
      <c r="V18">
        <f t="shared" si="8"/>
        <v>450.14662048768992</v>
      </c>
      <c r="X18">
        <v>16</v>
      </c>
      <c r="Y18" s="9">
        <f t="shared" si="22"/>
        <v>46.875</v>
      </c>
      <c r="Z18" s="4">
        <f t="shared" si="12"/>
        <v>0</v>
      </c>
      <c r="AA18">
        <f t="shared" si="9"/>
        <v>0.46875</v>
      </c>
      <c r="AB18">
        <v>16.5</v>
      </c>
      <c r="AC18">
        <f t="shared" si="10"/>
        <v>0.46875</v>
      </c>
      <c r="AD18">
        <v>8</v>
      </c>
      <c r="AE18">
        <f t="shared" si="13"/>
        <v>0.46875</v>
      </c>
      <c r="AF18">
        <f t="shared" si="20"/>
        <v>7.1022727272727626E-3</v>
      </c>
      <c r="AG18">
        <f>-(1/AD18)*LN(1-AE18)</f>
        <v>7.9065319842938811E-2</v>
      </c>
      <c r="AH18">
        <f t="shared" si="3"/>
        <v>-0.88235294117647056</v>
      </c>
      <c r="AJ18">
        <f t="shared" si="23"/>
        <v>4.5</v>
      </c>
      <c r="AK18">
        <f t="shared" si="25"/>
        <v>0.61715157649970265</v>
      </c>
      <c r="AL18">
        <f t="shared" si="24"/>
        <v>0.61715157649970265</v>
      </c>
      <c r="AM18" t="b">
        <f t="shared" si="26"/>
        <v>1</v>
      </c>
      <c r="AR18">
        <v>7.5</v>
      </c>
      <c r="AS18">
        <f t="shared" si="4"/>
        <v>0.53830542192395514</v>
      </c>
      <c r="AT18">
        <f t="shared" si="11"/>
        <v>0.46169457807604486</v>
      </c>
      <c r="AU18">
        <f t="shared" si="18"/>
        <v>7.1491235305903844E-3</v>
      </c>
      <c r="AV18" t="b">
        <f t="shared" si="19"/>
        <v>1</v>
      </c>
      <c r="AW18">
        <v>0.46169457807604486</v>
      </c>
      <c r="AX18">
        <v>0.46419729999999998</v>
      </c>
      <c r="BA18">
        <v>15</v>
      </c>
      <c r="BB18">
        <v>0.55834659008000531</v>
      </c>
    </row>
    <row r="19" spans="1:54" x14ac:dyDescent="0.3">
      <c r="A19" t="s">
        <v>7</v>
      </c>
      <c r="B19" s="1">
        <v>48579</v>
      </c>
      <c r="C19">
        <v>100</v>
      </c>
      <c r="D19">
        <v>100</v>
      </c>
      <c r="E19">
        <f t="shared" si="5"/>
        <v>38602.534000000007</v>
      </c>
      <c r="F19">
        <v>638.87199999999996</v>
      </c>
      <c r="H19">
        <v>0</v>
      </c>
      <c r="I19">
        <v>638.87199999999996</v>
      </c>
      <c r="J19">
        <v>102</v>
      </c>
      <c r="K19">
        <f t="shared" si="6"/>
        <v>8.5</v>
      </c>
      <c r="L19">
        <f t="shared" si="0"/>
        <v>273.42265207113144</v>
      </c>
      <c r="Q19" s="10">
        <f t="shared" si="1"/>
        <v>15696.562400000004</v>
      </c>
      <c r="R19">
        <f t="shared" si="7"/>
        <v>649.46894056534734</v>
      </c>
      <c r="U19" s="10">
        <f t="shared" si="2"/>
        <v>15696.562400000004</v>
      </c>
      <c r="V19">
        <f t="shared" si="8"/>
        <v>444.24667186032462</v>
      </c>
      <c r="X19">
        <v>17</v>
      </c>
      <c r="Y19" s="8">
        <f t="shared" si="22"/>
        <v>46.875</v>
      </c>
      <c r="Z19" s="4">
        <f t="shared" si="12"/>
        <v>0</v>
      </c>
      <c r="AA19">
        <f t="shared" si="9"/>
        <v>0.46875</v>
      </c>
      <c r="AB19">
        <v>17.5</v>
      </c>
      <c r="AC19">
        <f t="shared" si="10"/>
        <v>0.46875</v>
      </c>
      <c r="AD19">
        <v>8.5</v>
      </c>
      <c r="AE19">
        <f>1-EXP(-$AG$18*AD19)</f>
        <v>0.4893420152645287</v>
      </c>
      <c r="AF19">
        <f t="shared" si="20"/>
        <v>2.0592015264528696E-2</v>
      </c>
      <c r="AH19">
        <f>1-EXP($AG$18*AD19)</f>
        <v>-0.95825783575677459</v>
      </c>
      <c r="AJ19">
        <f t="shared" si="23"/>
        <v>5.5</v>
      </c>
      <c r="AK19">
        <f t="shared" si="25"/>
        <v>0.58898895912132121</v>
      </c>
      <c r="AL19">
        <f t="shared" si="24"/>
        <v>0.58898895912132121</v>
      </c>
      <c r="AM19" t="b">
        <f t="shared" si="26"/>
        <v>1</v>
      </c>
      <c r="AR19">
        <v>8</v>
      </c>
      <c r="AS19">
        <f t="shared" si="4"/>
        <v>0.53125</v>
      </c>
      <c r="AT19">
        <f t="shared" si="11"/>
        <v>0.46875</v>
      </c>
      <c r="AU19">
        <f t="shared" si="18"/>
        <v>7.0554219239551408E-3</v>
      </c>
      <c r="AV19" t="b">
        <f t="shared" si="19"/>
        <v>1</v>
      </c>
      <c r="AW19">
        <v>0.46875</v>
      </c>
      <c r="AX19">
        <v>0.46875</v>
      </c>
      <c r="BA19">
        <v>16</v>
      </c>
      <c r="BB19">
        <v>0.56984798096333855</v>
      </c>
    </row>
    <row r="20" spans="1:54" x14ac:dyDescent="0.3">
      <c r="A20" t="s">
        <v>7</v>
      </c>
      <c r="B20" s="1">
        <v>48760</v>
      </c>
      <c r="C20">
        <v>100</v>
      </c>
      <c r="D20">
        <v>100</v>
      </c>
      <c r="E20">
        <f t="shared" si="5"/>
        <v>38602.534000000007</v>
      </c>
      <c r="F20">
        <v>638.87199999999996</v>
      </c>
      <c r="H20">
        <v>0</v>
      </c>
      <c r="I20">
        <v>638.87199999999996</v>
      </c>
      <c r="J20">
        <v>108</v>
      </c>
      <c r="K20">
        <f t="shared" si="6"/>
        <v>9</v>
      </c>
      <c r="L20">
        <f t="shared" si="0"/>
        <v>260.10778598663603</v>
      </c>
      <c r="Q20" s="10">
        <f t="shared" si="1"/>
        <v>15696.562400000004</v>
      </c>
      <c r="R20">
        <f t="shared" si="7"/>
        <v>624.2945888703681</v>
      </c>
      <c r="U20" s="10">
        <f t="shared" si="2"/>
        <v>15696.562400000004</v>
      </c>
      <c r="V20">
        <f t="shared" si="8"/>
        <v>438.42405224582228</v>
      </c>
      <c r="X20">
        <v>18</v>
      </c>
      <c r="Y20" s="9">
        <f t="shared" si="22"/>
        <v>46.875</v>
      </c>
      <c r="Z20" s="4">
        <f t="shared" si="12"/>
        <v>0</v>
      </c>
      <c r="AA20">
        <f t="shared" si="9"/>
        <v>0.46875</v>
      </c>
      <c r="AB20">
        <v>18.5</v>
      </c>
      <c r="AC20">
        <f t="shared" si="10"/>
        <v>0.46875</v>
      </c>
      <c r="AD20">
        <v>9</v>
      </c>
      <c r="AE20">
        <f t="shared" ref="AE20:AE45" si="27">1-EXP(-$AG$18*AD20)</f>
        <v>0.50913585435464892</v>
      </c>
      <c r="AF20">
        <f t="shared" si="20"/>
        <v>1.9793839090120224E-2</v>
      </c>
      <c r="AH20">
        <f t="shared" si="3"/>
        <v>-1.0372235553796165</v>
      </c>
      <c r="AJ20">
        <f t="shared" si="23"/>
        <v>6.5</v>
      </c>
      <c r="AK20">
        <f t="shared" si="25"/>
        <v>0.56644118403702071</v>
      </c>
      <c r="AL20">
        <f t="shared" si="24"/>
        <v>0.56644118403702082</v>
      </c>
      <c r="AM20" t="b">
        <f t="shared" si="26"/>
        <v>1</v>
      </c>
      <c r="AR20">
        <v>8.5</v>
      </c>
      <c r="AS20">
        <f>$AS$19*EXP(-$AN$11*(AR20-$AJ$11))</f>
        <v>0.52428705156135202</v>
      </c>
      <c r="AT20">
        <f t="shared" si="11"/>
        <v>0.47571294843864798</v>
      </c>
      <c r="AU20">
        <f t="shared" si="18"/>
        <v>6.9629484386479756E-3</v>
      </c>
      <c r="AV20" t="b">
        <f t="shared" si="19"/>
        <v>1</v>
      </c>
      <c r="BA20">
        <v>17</v>
      </c>
      <c r="BB20">
        <v>0.58104985645908513</v>
      </c>
    </row>
    <row r="21" spans="1:54" x14ac:dyDescent="0.3">
      <c r="A21" t="s">
        <v>7</v>
      </c>
      <c r="B21" s="1">
        <v>48944</v>
      </c>
      <c r="C21">
        <v>100</v>
      </c>
      <c r="D21">
        <v>100</v>
      </c>
      <c r="E21">
        <f t="shared" si="5"/>
        <v>38602.534000000007</v>
      </c>
      <c r="F21">
        <v>638.87199999999996</v>
      </c>
      <c r="H21">
        <v>0</v>
      </c>
      <c r="I21">
        <v>638.87199999999996</v>
      </c>
      <c r="J21">
        <v>114</v>
      </c>
      <c r="K21">
        <f t="shared" si="6"/>
        <v>9.5</v>
      </c>
      <c r="L21">
        <f t="shared" si="0"/>
        <v>247.44131409152163</v>
      </c>
      <c r="Q21" s="10">
        <f t="shared" si="1"/>
        <v>15696.562400000004</v>
      </c>
      <c r="R21">
        <f t="shared" si="7"/>
        <v>600.09603131068229</v>
      </c>
      <c r="U21" s="10">
        <f t="shared" si="2"/>
        <v>15696.562400000004</v>
      </c>
      <c r="V21">
        <f t="shared" si="8"/>
        <v>432.67774811396185</v>
      </c>
      <c r="X21">
        <v>19</v>
      </c>
      <c r="Y21" s="8">
        <f t="shared" si="22"/>
        <v>46.875</v>
      </c>
      <c r="Z21" s="4">
        <f t="shared" si="12"/>
        <v>0</v>
      </c>
      <c r="AA21">
        <f t="shared" si="9"/>
        <v>0.46875</v>
      </c>
      <c r="AB21">
        <v>19.5</v>
      </c>
      <c r="AC21">
        <f t="shared" si="10"/>
        <v>0.46875</v>
      </c>
      <c r="AD21">
        <v>9.5</v>
      </c>
      <c r="AE21">
        <f t="shared" si="27"/>
        <v>0.5281624557286515</v>
      </c>
      <c r="AF21">
        <f t="shared" si="20"/>
        <v>1.9026601374002583E-2</v>
      </c>
      <c r="AH21">
        <f t="shared" si="3"/>
        <v>-1.1193735262086548</v>
      </c>
      <c r="AJ21">
        <f t="shared" si="23"/>
        <v>7.5</v>
      </c>
      <c r="AK21">
        <f t="shared" si="25"/>
        <v>0.53830542192395514</v>
      </c>
      <c r="AL21">
        <f t="shared" si="24"/>
        <v>0.53830542192395514</v>
      </c>
      <c r="AM21" t="b">
        <f t="shared" si="26"/>
        <v>1</v>
      </c>
      <c r="AR21">
        <v>9</v>
      </c>
      <c r="AS21">
        <f>$AS$19*EXP(-$AN$11*(AR21-$AJ$11))</f>
        <v>0.51741536458333326</v>
      </c>
      <c r="AT21">
        <f t="shared" si="11"/>
        <v>0.48258463541666674</v>
      </c>
      <c r="AU21">
        <f t="shared" si="18"/>
        <v>6.871686978018765E-3</v>
      </c>
      <c r="AV21" t="b">
        <f t="shared" si="19"/>
        <v>1</v>
      </c>
      <c r="BA21">
        <v>18</v>
      </c>
      <c r="BB21">
        <v>0.5919600164471297</v>
      </c>
    </row>
    <row r="22" spans="1:54" x14ac:dyDescent="0.3">
      <c r="A22" t="s">
        <v>7</v>
      </c>
      <c r="B22" s="1">
        <v>49125</v>
      </c>
      <c r="C22">
        <v>100</v>
      </c>
      <c r="D22">
        <v>100</v>
      </c>
      <c r="E22">
        <f t="shared" si="5"/>
        <v>38602.534000000007</v>
      </c>
      <c r="F22">
        <v>638.87199999999996</v>
      </c>
      <c r="H22">
        <v>0</v>
      </c>
      <c r="I22">
        <v>638.87199999999996</v>
      </c>
      <c r="J22">
        <v>120</v>
      </c>
      <c r="K22">
        <f t="shared" si="6"/>
        <v>10</v>
      </c>
      <c r="L22">
        <f t="shared" si="0"/>
        <v>235.39166152636741</v>
      </c>
      <c r="Q22" s="10">
        <f t="shared" si="1"/>
        <v>15696.562400000004</v>
      </c>
      <c r="R22">
        <f t="shared" si="7"/>
        <v>576.8354446999881</v>
      </c>
      <c r="U22" s="10">
        <f t="shared" si="2"/>
        <v>15696.562400000004</v>
      </c>
      <c r="V22">
        <f t="shared" si="8"/>
        <v>427.00675921858613</v>
      </c>
      <c r="X22">
        <v>20</v>
      </c>
      <c r="Y22" s="9">
        <f t="shared" si="22"/>
        <v>46.875</v>
      </c>
      <c r="Z22" s="4">
        <f t="shared" si="12"/>
        <v>0</v>
      </c>
      <c r="AA22">
        <f t="shared" si="9"/>
        <v>0.46875</v>
      </c>
      <c r="AB22">
        <v>20.5</v>
      </c>
      <c r="AC22">
        <f t="shared" si="10"/>
        <v>0.46875</v>
      </c>
      <c r="AD22">
        <v>10</v>
      </c>
      <c r="AE22">
        <f t="shared" si="27"/>
        <v>0.54645155862561789</v>
      </c>
      <c r="AF22">
        <f t="shared" si="20"/>
        <v>1.8289102896966392E-2</v>
      </c>
      <c r="AH22">
        <f t="shared" si="3"/>
        <v>-1.204836151502831</v>
      </c>
      <c r="AR22">
        <v>9.5</v>
      </c>
      <c r="AS22">
        <f t="shared" ref="AS22:AS84" si="28">$AS$19*EXP(-$AN$11*(AR22-$AJ$11))</f>
        <v>0.51063374292694175</v>
      </c>
      <c r="AT22">
        <f t="shared" si="11"/>
        <v>0.48936625707305825</v>
      </c>
      <c r="AU22">
        <f t="shared" si="18"/>
        <v>6.7816216563915122E-3</v>
      </c>
      <c r="AV22" t="b">
        <f t="shared" si="19"/>
        <v>1</v>
      </c>
      <c r="BA22">
        <v>19</v>
      </c>
      <c r="BB22">
        <v>0.60258605768548579</v>
      </c>
    </row>
    <row r="23" spans="1:54" x14ac:dyDescent="0.3">
      <c r="A23" t="s">
        <v>7</v>
      </c>
      <c r="B23" s="1">
        <v>49309</v>
      </c>
      <c r="C23">
        <v>100</v>
      </c>
      <c r="D23">
        <v>100</v>
      </c>
      <c r="E23">
        <f t="shared" si="5"/>
        <v>38602.534000000007</v>
      </c>
      <c r="F23">
        <v>638.87199999999996</v>
      </c>
      <c r="H23">
        <v>0</v>
      </c>
      <c r="I23">
        <v>638.87199999999996</v>
      </c>
      <c r="J23">
        <v>126</v>
      </c>
      <c r="K23">
        <f t="shared" si="6"/>
        <v>10.5</v>
      </c>
      <c r="L23">
        <f t="shared" si="0"/>
        <v>223.92879103305125</v>
      </c>
      <c r="Q23" s="10">
        <f t="shared" si="1"/>
        <v>15696.562400000004</v>
      </c>
      <c r="R23">
        <f t="shared" si="7"/>
        <v>554.47647193314901</v>
      </c>
      <c r="U23" s="10">
        <f t="shared" si="2"/>
        <v>15696.562400000004</v>
      </c>
      <c r="V23">
        <f t="shared" si="8"/>
        <v>421.41009842349422</v>
      </c>
      <c r="X23">
        <v>21</v>
      </c>
      <c r="Y23" s="8">
        <f t="shared" si="22"/>
        <v>46.875</v>
      </c>
      <c r="Z23" s="4">
        <f t="shared" si="12"/>
        <v>0</v>
      </c>
      <c r="AA23">
        <f t="shared" si="9"/>
        <v>0.46875</v>
      </c>
      <c r="AB23">
        <v>21.5</v>
      </c>
      <c r="AC23">
        <f>AA23</f>
        <v>0.46875</v>
      </c>
      <c r="AD23">
        <v>10.5</v>
      </c>
      <c r="AE23">
        <f t="shared" si="27"/>
        <v>0.56403174954888291</v>
      </c>
      <c r="AF23">
        <f t="shared" si="20"/>
        <v>1.7580190923265016E-2</v>
      </c>
      <c r="AH23">
        <f t="shared" si="3"/>
        <v>-1.2937450123151222</v>
      </c>
      <c r="AR23">
        <v>10</v>
      </c>
      <c r="AS23">
        <f>$AS$19*EXP(-$AN$11*(AR23-$AJ$11))</f>
        <v>0.5039410061306423</v>
      </c>
      <c r="AT23">
        <f t="shared" si="11"/>
        <v>0.4960589938693577</v>
      </c>
      <c r="AU23">
        <f t="shared" si="18"/>
        <v>6.6927367962994477E-3</v>
      </c>
      <c r="AV23" t="b">
        <f t="shared" si="19"/>
        <v>1</v>
      </c>
      <c r="BA23">
        <v>20</v>
      </c>
      <c r="BB23">
        <v>0.61293537909992635</v>
      </c>
    </row>
    <row r="24" spans="1:54" x14ac:dyDescent="0.3">
      <c r="A24" t="s">
        <v>7</v>
      </c>
      <c r="B24" s="1">
        <v>49490</v>
      </c>
      <c r="C24">
        <v>100</v>
      </c>
      <c r="D24">
        <v>100</v>
      </c>
      <c r="E24">
        <f t="shared" si="5"/>
        <v>38602.534000000007</v>
      </c>
      <c r="F24">
        <v>638.87199999999996</v>
      </c>
      <c r="H24">
        <v>0</v>
      </c>
      <c r="I24">
        <v>638.87199999999996</v>
      </c>
      <c r="J24">
        <v>132</v>
      </c>
      <c r="K24">
        <f t="shared" si="6"/>
        <v>11</v>
      </c>
      <c r="L24">
        <f t="shared" si="0"/>
        <v>213.02412807816057</v>
      </c>
      <c r="Q24" s="10">
        <f t="shared" si="1"/>
        <v>15696.562400000004</v>
      </c>
      <c r="R24">
        <f t="shared" si="7"/>
        <v>532.98416515880444</v>
      </c>
      <c r="U24" s="10">
        <f t="shared" si="2"/>
        <v>15696.562400000004</v>
      </c>
      <c r="V24">
        <f t="shared" si="8"/>
        <v>415.88679153060173</v>
      </c>
      <c r="Y24" s="9"/>
      <c r="Z24" s="4"/>
      <c r="AD24">
        <v>11</v>
      </c>
      <c r="AE24">
        <f t="shared" si="27"/>
        <v>0.58093050694773329</v>
      </c>
      <c r="AF24">
        <f t="shared" si="20"/>
        <v>1.6898757398850384E-2</v>
      </c>
      <c r="AH24">
        <f t="shared" si="3"/>
        <v>-1.3862390762843697</v>
      </c>
      <c r="AR24">
        <v>10.5</v>
      </c>
      <c r="AS24">
        <f>$AS$19*EXP(-$AN$11*(AR24-$AJ$11))</f>
        <v>0.49733598920488598</v>
      </c>
      <c r="AT24">
        <f t="shared" si="11"/>
        <v>0.50266401079511402</v>
      </c>
      <c r="AU24">
        <f t="shared" si="18"/>
        <v>6.605016925756324E-3</v>
      </c>
      <c r="AV24" t="b">
        <f t="shared" si="19"/>
        <v>1</v>
      </c>
      <c r="BA24">
        <v>21</v>
      </c>
      <c r="BB24">
        <v>0.62301518693586577</v>
      </c>
    </row>
    <row r="25" spans="1:54" x14ac:dyDescent="0.3">
      <c r="A25" t="s">
        <v>7</v>
      </c>
      <c r="B25" s="1">
        <v>49674</v>
      </c>
      <c r="C25">
        <v>100</v>
      </c>
      <c r="D25">
        <v>100</v>
      </c>
      <c r="E25">
        <f t="shared" si="5"/>
        <v>38602.534000000007</v>
      </c>
      <c r="F25">
        <v>638.87199999999996</v>
      </c>
      <c r="H25">
        <v>0</v>
      </c>
      <c r="I25">
        <v>638.87199999999996</v>
      </c>
      <c r="J25">
        <v>138</v>
      </c>
      <c r="K25">
        <f t="shared" si="6"/>
        <v>11.5</v>
      </c>
      <c r="L25">
        <f t="shared" si="0"/>
        <v>202.65048962267082</v>
      </c>
      <c r="Q25" s="10">
        <f t="shared" si="1"/>
        <v>15696.562400000004</v>
      </c>
      <c r="R25">
        <f t="shared" si="7"/>
        <v>512.32493115466002</v>
      </c>
      <c r="U25" s="10">
        <f t="shared" si="2"/>
        <v>15696.562400000004</v>
      </c>
      <c r="V25">
        <f t="shared" si="8"/>
        <v>410.43587711038401</v>
      </c>
      <c r="Y25" s="8"/>
      <c r="Z25" s="4"/>
      <c r="AD25">
        <v>11.5</v>
      </c>
      <c r="AE25">
        <f t="shared" si="27"/>
        <v>0.59717424416717912</v>
      </c>
      <c r="AF25">
        <f t="shared" si="20"/>
        <v>1.6243737219445831E-2</v>
      </c>
      <c r="AH25">
        <f t="shared" si="3"/>
        <v>-1.4824629148465269</v>
      </c>
      <c r="AR25">
        <v>11</v>
      </c>
      <c r="AS25">
        <f t="shared" si="28"/>
        <v>0.49081754242932346</v>
      </c>
      <c r="AT25">
        <f t="shared" si="11"/>
        <v>0.50918245757067648</v>
      </c>
      <c r="AU25">
        <f t="shared" si="18"/>
        <v>6.5184467755624587E-3</v>
      </c>
      <c r="AV25" t="b">
        <f t="shared" si="19"/>
        <v>1</v>
      </c>
      <c r="BA25">
        <v>22</v>
      </c>
      <c r="BB25">
        <v>0.63283249977607747</v>
      </c>
    </row>
    <row r="26" spans="1:54" x14ac:dyDescent="0.3">
      <c r="A26" t="s">
        <v>7</v>
      </c>
      <c r="B26" s="1">
        <v>49856</v>
      </c>
      <c r="C26">
        <v>100</v>
      </c>
      <c r="D26">
        <v>100</v>
      </c>
      <c r="E26">
        <f t="shared" ref="E26:E45" si="29">E25-H26</f>
        <v>36672.407300000006</v>
      </c>
      <c r="F26">
        <v>638.87199999999996</v>
      </c>
      <c r="H26">
        <v>1930.1267</v>
      </c>
      <c r="I26">
        <v>2568.9987000000001</v>
      </c>
      <c r="J26">
        <v>144</v>
      </c>
      <c r="K26">
        <f t="shared" si="6"/>
        <v>12</v>
      </c>
      <c r="L26">
        <f t="shared" si="0"/>
        <v>775.20496971702789</v>
      </c>
      <c r="Q26" s="10">
        <f t="shared" si="1"/>
        <v>15696.562400000003</v>
      </c>
      <c r="R26">
        <f t="shared" si="7"/>
        <v>1239.8340216215074</v>
      </c>
      <c r="U26" s="10">
        <f t="shared" si="2"/>
        <v>15696.562400000003</v>
      </c>
      <c r="V26">
        <f t="shared" si="8"/>
        <v>1327.7261361736512</v>
      </c>
      <c r="Y26" s="9"/>
      <c r="Z26" s="4"/>
      <c r="AD26">
        <v>12</v>
      </c>
      <c r="AE26">
        <f t="shared" si="27"/>
        <v>0.61278835073292925</v>
      </c>
      <c r="AF26">
        <f t="shared" si="20"/>
        <v>1.561410656575013E-2</v>
      </c>
      <c r="AH26">
        <f t="shared" si="3"/>
        <v>-1.5825669292048392</v>
      </c>
      <c r="AR26">
        <v>11.5</v>
      </c>
      <c r="AS26">
        <f t="shared" si="28"/>
        <v>0.48438453115267538</v>
      </c>
      <c r="AT26">
        <f t="shared" si="11"/>
        <v>0.51561546884732468</v>
      </c>
      <c r="AU26">
        <f t="shared" si="18"/>
        <v>6.4330112766481928E-3</v>
      </c>
      <c r="AV26" t="b">
        <f t="shared" si="19"/>
        <v>1</v>
      </c>
      <c r="BA26">
        <v>23</v>
      </c>
      <c r="BB26">
        <v>0.6423941534277422</v>
      </c>
    </row>
    <row r="27" spans="1:54" x14ac:dyDescent="0.3">
      <c r="A27" t="s">
        <v>7</v>
      </c>
      <c r="B27" s="1">
        <v>50040</v>
      </c>
      <c r="C27">
        <v>9500</v>
      </c>
      <c r="D27">
        <v>9500</v>
      </c>
      <c r="E27">
        <f t="shared" si="29"/>
        <v>34742.280600000006</v>
      </c>
      <c r="F27">
        <v>606.92840000000001</v>
      </c>
      <c r="H27">
        <v>1930.1267</v>
      </c>
      <c r="I27">
        <v>2537.0551</v>
      </c>
      <c r="J27">
        <v>150</v>
      </c>
      <c r="K27">
        <f t="shared" si="6"/>
        <v>12.5</v>
      </c>
      <c r="L27">
        <f t="shared" si="0"/>
        <v>728.28509883099707</v>
      </c>
      <c r="Q27" s="10">
        <f t="shared" si="1"/>
        <v>14911.734280000002</v>
      </c>
      <c r="R27">
        <f t="shared" si="7"/>
        <v>1168.107380529905</v>
      </c>
      <c r="U27" s="10">
        <f t="shared" si="2"/>
        <v>14911.734280000002</v>
      </c>
      <c r="V27">
        <f t="shared" si="8"/>
        <v>1290.3366207355696</v>
      </c>
      <c r="Y27" s="8"/>
      <c r="Z27" s="4"/>
      <c r="AD27">
        <v>12.5</v>
      </c>
      <c r="AE27">
        <f t="shared" si="27"/>
        <v>0.62779723203610271</v>
      </c>
      <c r="AF27">
        <f t="shared" si="20"/>
        <v>1.500888130317346E-2</v>
      </c>
      <c r="AH27">
        <f t="shared" si="3"/>
        <v>-1.6867075854121465</v>
      </c>
      <c r="AR27">
        <v>12</v>
      </c>
      <c r="AS27">
        <f t="shared" si="28"/>
        <v>0.47803583559522639</v>
      </c>
      <c r="AT27">
        <f t="shared" si="11"/>
        <v>0.52196416440477367</v>
      </c>
      <c r="AU27">
        <f t="shared" si="18"/>
        <v>6.3486955574489912E-3</v>
      </c>
      <c r="AV27" t="b">
        <f t="shared" si="19"/>
        <v>1</v>
      </c>
      <c r="BA27">
        <v>24</v>
      </c>
      <c r="BB27">
        <v>0.65170680568222816</v>
      </c>
    </row>
    <row r="28" spans="1:54" x14ac:dyDescent="0.3">
      <c r="A28" t="s">
        <v>7</v>
      </c>
      <c r="B28" s="1">
        <v>50221</v>
      </c>
      <c r="C28">
        <v>900</v>
      </c>
      <c r="D28">
        <v>900</v>
      </c>
      <c r="E28">
        <f t="shared" si="29"/>
        <v>32812.153900000005</v>
      </c>
      <c r="F28">
        <v>574.98479999999995</v>
      </c>
      <c r="H28">
        <v>1930.1267</v>
      </c>
      <c r="I28">
        <v>2505.1115</v>
      </c>
      <c r="J28">
        <v>156</v>
      </c>
      <c r="K28">
        <f t="shared" si="6"/>
        <v>13</v>
      </c>
      <c r="L28">
        <f t="shared" si="0"/>
        <v>684.0966226977331</v>
      </c>
      <c r="Q28" s="10">
        <f t="shared" si="1"/>
        <v>14126.906160000002</v>
      </c>
      <c r="R28">
        <f t="shared" si="7"/>
        <v>1100.0784075798219</v>
      </c>
      <c r="U28" s="10">
        <f t="shared" si="2"/>
        <v>14126.906160000002</v>
      </c>
      <c r="V28">
        <f t="shared" si="8"/>
        <v>1253.6991284688409</v>
      </c>
      <c r="Y28" s="9"/>
      <c r="Z28" s="4"/>
      <c r="AD28">
        <v>13</v>
      </c>
      <c r="AE28">
        <f t="shared" si="27"/>
        <v>0.64222434747970247</v>
      </c>
      <c r="AF28">
        <f t="shared" si="20"/>
        <v>1.4427115443599758E-2</v>
      </c>
      <c r="AH28">
        <f t="shared" si="3"/>
        <v>-1.7950476589327655</v>
      </c>
      <c r="AR28">
        <v>12.5</v>
      </c>
      <c r="AS28">
        <f t="shared" si="28"/>
        <v>0.47177035065390777</v>
      </c>
      <c r="AT28">
        <f t="shared" si="11"/>
        <v>0.52822964934609229</v>
      </c>
      <c r="AU28">
        <f t="shared" si="18"/>
        <v>6.265484941318622E-3</v>
      </c>
      <c r="AV28" t="b">
        <f t="shared" si="19"/>
        <v>1</v>
      </c>
      <c r="BA28">
        <v>25</v>
      </c>
      <c r="BB28">
        <v>0.6607769409509201</v>
      </c>
    </row>
    <row r="29" spans="1:54" x14ac:dyDescent="0.3">
      <c r="A29" t="s">
        <v>7</v>
      </c>
      <c r="B29" s="1">
        <v>50405</v>
      </c>
      <c r="C29">
        <v>8500</v>
      </c>
      <c r="D29">
        <v>8500</v>
      </c>
      <c r="E29">
        <f t="shared" si="29"/>
        <v>30882.027200000004</v>
      </c>
      <c r="F29">
        <v>543.0412</v>
      </c>
      <c r="H29">
        <v>1930.1267</v>
      </c>
      <c r="I29">
        <v>2473.1678999999999</v>
      </c>
      <c r="J29">
        <v>162</v>
      </c>
      <c r="K29">
        <f t="shared" si="6"/>
        <v>13.5</v>
      </c>
      <c r="L29">
        <f t="shared" si="0"/>
        <v>642.48478552526331</v>
      </c>
      <c r="Q29" s="10">
        <f t="shared" si="1"/>
        <v>13342.078040000002</v>
      </c>
      <c r="R29">
        <f t="shared" si="7"/>
        <v>1035.5682145234775</v>
      </c>
      <c r="U29" s="10">
        <f t="shared" si="2"/>
        <v>13342.078040000002</v>
      </c>
      <c r="V29">
        <f t="shared" si="8"/>
        <v>1217.8003692551715</v>
      </c>
      <c r="Y29" s="8"/>
      <c r="Z29" s="4"/>
      <c r="AD29">
        <v>13.5</v>
      </c>
      <c r="AE29">
        <f t="shared" si="27"/>
        <v>0.6560922471464784</v>
      </c>
      <c r="AF29">
        <f t="shared" si="20"/>
        <v>1.3867899666775929E-2</v>
      </c>
      <c r="AH29">
        <f t="shared" si="3"/>
        <v>-1.9077564890661933</v>
      </c>
      <c r="AR29">
        <v>13</v>
      </c>
      <c r="AS29">
        <f t="shared" si="28"/>
        <v>0.46558698570993406</v>
      </c>
      <c r="AT29">
        <f t="shared" si="11"/>
        <v>0.53441301429006594</v>
      </c>
      <c r="AU29">
        <f t="shared" si="18"/>
        <v>6.183364943973646E-3</v>
      </c>
      <c r="AV29" t="b">
        <f t="shared" si="19"/>
        <v>1</v>
      </c>
      <c r="BA29">
        <v>26</v>
      </c>
      <c r="BB29">
        <v>0.66961087478032333</v>
      </c>
    </row>
    <row r="30" spans="1:54" x14ac:dyDescent="0.3">
      <c r="A30" t="s">
        <v>7</v>
      </c>
      <c r="B30" s="1">
        <v>50586</v>
      </c>
      <c r="C30">
        <v>800</v>
      </c>
      <c r="D30">
        <v>800</v>
      </c>
      <c r="E30">
        <f t="shared" si="29"/>
        <v>28951.900500000003</v>
      </c>
      <c r="F30">
        <v>511.0976</v>
      </c>
      <c r="H30">
        <v>1930.1267</v>
      </c>
      <c r="I30">
        <v>2441.2242999999999</v>
      </c>
      <c r="J30">
        <v>168</v>
      </c>
      <c r="K30">
        <f t="shared" si="6"/>
        <v>14</v>
      </c>
      <c r="L30">
        <f t="shared" si="0"/>
        <v>603.30342658419158</v>
      </c>
      <c r="Q30" s="10">
        <f t="shared" si="1"/>
        <v>12557.249920000002</v>
      </c>
      <c r="R30">
        <f t="shared" si="7"/>
        <v>974.40622548662486</v>
      </c>
      <c r="U30" s="10">
        <f t="shared" si="2"/>
        <v>12557.249920000002</v>
      </c>
      <c r="V30">
        <f t="shared" si="8"/>
        <v>1182.6272721688961</v>
      </c>
      <c r="Y30" s="9"/>
      <c r="Z30" s="4"/>
      <c r="AD30">
        <v>14</v>
      </c>
      <c r="AE30">
        <f t="shared" si="27"/>
        <v>0.66942260704548917</v>
      </c>
      <c r="AF30">
        <f t="shared" si="20"/>
        <v>1.3330359899010769E-2</v>
      </c>
      <c r="AH30">
        <f t="shared" si="3"/>
        <v>-2.0250102436303181</v>
      </c>
      <c r="AR30">
        <v>13.5</v>
      </c>
      <c r="AS30">
        <f>$AS$19*EXP(-$AN$11*(AR30-$AJ$11))</f>
        <v>0.45948466443896219</v>
      </c>
      <c r="AT30">
        <f t="shared" si="11"/>
        <v>0.54051533556103781</v>
      </c>
      <c r="AU30">
        <f t="shared" si="18"/>
        <v>6.1023212709718777E-3</v>
      </c>
      <c r="AV30" t="b">
        <f t="shared" si="19"/>
        <v>1</v>
      </c>
      <c r="BA30">
        <v>27</v>
      </c>
      <c r="BB30">
        <v>0.67821475824958577</v>
      </c>
    </row>
    <row r="31" spans="1:54" x14ac:dyDescent="0.3">
      <c r="A31" t="s">
        <v>7</v>
      </c>
      <c r="B31" s="1">
        <v>50770</v>
      </c>
      <c r="C31">
        <v>7500</v>
      </c>
      <c r="D31">
        <v>7500</v>
      </c>
      <c r="E31">
        <f t="shared" si="29"/>
        <v>27021.773800000003</v>
      </c>
      <c r="F31">
        <v>479.154</v>
      </c>
      <c r="H31">
        <v>1930.1267</v>
      </c>
      <c r="I31">
        <v>2409.2806999999998</v>
      </c>
      <c r="J31">
        <v>174</v>
      </c>
      <c r="K31">
        <f t="shared" si="6"/>
        <v>14.5</v>
      </c>
      <c r="L31">
        <f t="shared" si="0"/>
        <v>566.41451008770071</v>
      </c>
      <c r="Q31" s="10">
        <f t="shared" si="1"/>
        <v>11772.421800000002</v>
      </c>
      <c r="R31">
        <f t="shared" si="7"/>
        <v>916.42980133994718</v>
      </c>
      <c r="U31" s="10">
        <f t="shared" si="2"/>
        <v>11772.421800000002</v>
      </c>
      <c r="V31">
        <f t="shared" si="8"/>
        <v>1148.1669820142461</v>
      </c>
      <c r="Y31" s="8"/>
      <c r="Z31" s="4"/>
      <c r="AD31">
        <v>14.5</v>
      </c>
      <c r="AE31">
        <f t="shared" si="27"/>
        <v>0.68223626299245854</v>
      </c>
      <c r="AF31">
        <f>AE31-AE30</f>
        <v>1.2813655946969371E-2</v>
      </c>
      <c r="AH31">
        <f t="shared" si="3"/>
        <v>-2.1469921943178401</v>
      </c>
      <c r="AR31">
        <v>14</v>
      </c>
      <c r="AS31">
        <f t="shared" si="28"/>
        <v>0.45346232462373781</v>
      </c>
      <c r="AT31">
        <f t="shared" si="11"/>
        <v>0.54653767537626219</v>
      </c>
      <c r="AU31">
        <f t="shared" si="18"/>
        <v>6.0223398152243757E-3</v>
      </c>
      <c r="AV31" t="b">
        <f t="shared" si="19"/>
        <v>1</v>
      </c>
      <c r="BA31">
        <v>28</v>
      </c>
      <c r="BB31">
        <v>0.68659458225350278</v>
      </c>
    </row>
    <row r="32" spans="1:54" x14ac:dyDescent="0.3">
      <c r="A32" t="s">
        <v>7</v>
      </c>
      <c r="B32" s="1">
        <v>50951</v>
      </c>
      <c r="C32">
        <v>700</v>
      </c>
      <c r="D32">
        <v>700</v>
      </c>
      <c r="E32">
        <f t="shared" si="29"/>
        <v>25091.647100000002</v>
      </c>
      <c r="F32">
        <v>447.21039999999999</v>
      </c>
      <c r="H32">
        <v>1930.1267</v>
      </c>
      <c r="I32">
        <v>2377.3371000000002</v>
      </c>
      <c r="J32">
        <v>180</v>
      </c>
      <c r="K32">
        <f t="shared" si="6"/>
        <v>15</v>
      </c>
      <c r="L32">
        <f t="shared" si="0"/>
        <v>531.68768047610013</v>
      </c>
      <c r="Q32" s="10">
        <f t="shared" si="1"/>
        <v>10987.593680000002</v>
      </c>
      <c r="R32">
        <f t="shared" si="7"/>
        <v>861.48388070130102</v>
      </c>
      <c r="U32" s="10">
        <f t="shared" si="2"/>
        <v>10987.593680000002</v>
      </c>
      <c r="V32">
        <f t="shared" si="8"/>
        <v>1114.4068559157217</v>
      </c>
      <c r="Y32" s="9"/>
      <c r="Z32" s="4"/>
      <c r="AD32">
        <v>15</v>
      </c>
      <c r="AE32">
        <f t="shared" si="27"/>
        <v>0.69455324317687828</v>
      </c>
      <c r="AF32">
        <f t="shared" si="20"/>
        <v>1.2316980184419735E-2</v>
      </c>
      <c r="AH32">
        <f t="shared" si="3"/>
        <v>-2.2738930031562932</v>
      </c>
      <c r="AR32">
        <v>14.5</v>
      </c>
      <c r="AS32">
        <f>$AS$19*EXP(-$AN$11*(AR32-$AJ$11))</f>
        <v>0.44751891796919752</v>
      </c>
      <c r="AT32">
        <f t="shared" si="11"/>
        <v>0.55248108203080248</v>
      </c>
      <c r="AU32">
        <f t="shared" si="18"/>
        <v>5.9434066545402953E-3</v>
      </c>
      <c r="AV32" t="b">
        <f t="shared" si="19"/>
        <v>1</v>
      </c>
      <c r="BA32">
        <v>29</v>
      </c>
      <c r="BB32">
        <v>0.69475618167398445</v>
      </c>
    </row>
    <row r="33" spans="1:54" x14ac:dyDescent="0.3">
      <c r="A33" t="s">
        <v>7</v>
      </c>
      <c r="B33" s="1">
        <v>51135</v>
      </c>
      <c r="C33">
        <v>6500</v>
      </c>
      <c r="D33">
        <v>6500</v>
      </c>
      <c r="E33">
        <f t="shared" si="29"/>
        <v>23161.520400000001</v>
      </c>
      <c r="F33">
        <v>415.26679999999999</v>
      </c>
      <c r="H33">
        <v>1930.1267</v>
      </c>
      <c r="I33">
        <v>2345.3935000000001</v>
      </c>
      <c r="J33">
        <v>186</v>
      </c>
      <c r="K33">
        <f t="shared" si="6"/>
        <v>15.5</v>
      </c>
      <c r="L33">
        <f t="shared" si="0"/>
        <v>498.99984174652894</v>
      </c>
      <c r="Q33" s="10">
        <f t="shared" si="1"/>
        <v>10202.76556</v>
      </c>
      <c r="R33">
        <f t="shared" si="7"/>
        <v>809.42063684398647</v>
      </c>
      <c r="U33" s="10">
        <f t="shared" si="2"/>
        <v>10202.76556</v>
      </c>
      <c r="V33">
        <f t="shared" si="8"/>
        <v>1081.3344599608004</v>
      </c>
      <c r="Y33" s="8"/>
      <c r="Z33" s="4"/>
      <c r="AD33">
        <v>15.5</v>
      </c>
      <c r="AE33">
        <f t="shared" si="27"/>
        <v>0.70639279946676536</v>
      </c>
      <c r="AF33">
        <f t="shared" si="20"/>
        <v>1.1839556289887088E-2</v>
      </c>
      <c r="AH33">
        <f t="shared" si="3"/>
        <v>-2.4059110205194227</v>
      </c>
      <c r="AR33">
        <v>15</v>
      </c>
      <c r="AS33">
        <f>$AS$19*EXP(-$AN$11*(AR33-$AJ$11))</f>
        <v>0.44165340991999463</v>
      </c>
      <c r="AT33">
        <f t="shared" si="11"/>
        <v>0.55834659008000531</v>
      </c>
      <c r="AU33">
        <f t="shared" si="18"/>
        <v>5.8655080492028278E-3</v>
      </c>
      <c r="AV33" t="b">
        <f t="shared" si="19"/>
        <v>1</v>
      </c>
      <c r="BA33">
        <v>30</v>
      </c>
      <c r="BB33">
        <v>0.70270523944289121</v>
      </c>
    </row>
    <row r="34" spans="1:54" x14ac:dyDescent="0.3">
      <c r="A34" t="s">
        <v>7</v>
      </c>
      <c r="B34" s="1">
        <v>51317</v>
      </c>
      <c r="C34">
        <v>600</v>
      </c>
      <c r="D34">
        <v>600</v>
      </c>
      <c r="E34">
        <f t="shared" si="29"/>
        <v>21231.393700000001</v>
      </c>
      <c r="F34">
        <v>383.32319999999999</v>
      </c>
      <c r="H34">
        <v>1930.1267</v>
      </c>
      <c r="I34">
        <v>2313.4499000000001</v>
      </c>
      <c r="J34">
        <v>192</v>
      </c>
      <c r="K34">
        <f t="shared" si="6"/>
        <v>16</v>
      </c>
      <c r="L34">
        <f t="shared" si="0"/>
        <v>468.23475954054169</v>
      </c>
      <c r="Q34" s="10">
        <f t="shared" si="1"/>
        <v>9417.9374399999997</v>
      </c>
      <c r="R34">
        <f t="shared" si="7"/>
        <v>760.09914981725717</v>
      </c>
      <c r="U34" s="10">
        <f t="shared" si="2"/>
        <v>9417.9374399999997</v>
      </c>
      <c r="V34">
        <f t="shared" si="8"/>
        <v>1048.9375658941519</v>
      </c>
      <c r="Y34" s="9"/>
      <c r="Z34" s="4"/>
      <c r="AD34">
        <v>16</v>
      </c>
      <c r="AE34">
        <f t="shared" si="27"/>
        <v>0.7177734375</v>
      </c>
      <c r="AF34">
        <f t="shared" si="20"/>
        <v>1.1380638033234636E-2</v>
      </c>
      <c r="AH34">
        <f t="shared" si="3"/>
        <v>-2.5432525951557095</v>
      </c>
      <c r="AR34">
        <v>15.5</v>
      </c>
      <c r="AS34">
        <f t="shared" si="28"/>
        <v>0.4358647794804163</v>
      </c>
      <c r="AT34">
        <f t="shared" si="11"/>
        <v>0.56413522051958376</v>
      </c>
      <c r="AU34">
        <f t="shared" si="18"/>
        <v>5.788630439578446E-3</v>
      </c>
      <c r="AV34" t="b">
        <f t="shared" si="19"/>
        <v>1</v>
      </c>
      <c r="BA34">
        <v>31</v>
      </c>
      <c r="BB34">
        <v>0.71044729049906596</v>
      </c>
    </row>
    <row r="35" spans="1:54" x14ac:dyDescent="0.3">
      <c r="A35" t="s">
        <v>7</v>
      </c>
      <c r="B35" s="1">
        <v>51501</v>
      </c>
      <c r="C35">
        <v>5500</v>
      </c>
      <c r="D35">
        <v>5500</v>
      </c>
      <c r="E35">
        <f t="shared" si="29"/>
        <v>19301.267</v>
      </c>
      <c r="F35">
        <v>351.37959999999998</v>
      </c>
      <c r="H35">
        <v>1930.1267</v>
      </c>
      <c r="I35">
        <v>2281.5063</v>
      </c>
      <c r="J35">
        <v>198</v>
      </c>
      <c r="K35">
        <f t="shared" si="6"/>
        <v>16.5</v>
      </c>
      <c r="L35">
        <f t="shared" si="0"/>
        <v>439.28268477068701</v>
      </c>
      <c r="Q35" s="10">
        <f t="shared" si="1"/>
        <v>8633.1093200000014</v>
      </c>
      <c r="R35">
        <f t="shared" si="7"/>
        <v>713.38509311531675</v>
      </c>
      <c r="U35" s="10">
        <f t="shared" si="2"/>
        <v>8633.1093200000014</v>
      </c>
      <c r="V35">
        <f t="shared" si="8"/>
        <v>1017.2041478626546</v>
      </c>
      <c r="Y35" s="8"/>
      <c r="Z35" s="4"/>
      <c r="AD35">
        <v>16.5</v>
      </c>
      <c r="AE35">
        <f t="shared" si="27"/>
        <v>0.7287129456092809</v>
      </c>
      <c r="AF35">
        <f t="shared" si="20"/>
        <v>1.0939508109280904E-2</v>
      </c>
      <c r="AH35">
        <f t="shared" si="3"/>
        <v>-2.6861323967186346</v>
      </c>
      <c r="AR35">
        <v>16</v>
      </c>
      <c r="AS35">
        <f t="shared" si="28"/>
        <v>0.43015201903666139</v>
      </c>
      <c r="AT35">
        <f t="shared" si="11"/>
        <v>0.56984798096333855</v>
      </c>
      <c r="AU35">
        <f t="shared" si="18"/>
        <v>5.7127604437547941E-3</v>
      </c>
      <c r="AV35" t="b">
        <f t="shared" si="19"/>
        <v>1</v>
      </c>
    </row>
    <row r="36" spans="1:54" x14ac:dyDescent="0.3">
      <c r="A36" t="s">
        <v>7</v>
      </c>
      <c r="B36" s="1">
        <v>51682</v>
      </c>
      <c r="C36">
        <v>500</v>
      </c>
      <c r="D36">
        <v>500</v>
      </c>
      <c r="E36">
        <f t="shared" si="29"/>
        <v>17371.140299999999</v>
      </c>
      <c r="F36">
        <v>319.43599999999998</v>
      </c>
      <c r="H36">
        <v>1930.1267</v>
      </c>
      <c r="I36">
        <v>2249.5626999999999</v>
      </c>
      <c r="J36">
        <v>204</v>
      </c>
      <c r="K36">
        <f t="shared" si="6"/>
        <v>17</v>
      </c>
      <c r="L36">
        <f t="shared" si="0"/>
        <v>412.03999763190501</v>
      </c>
      <c r="Q36" s="10">
        <f t="shared" si="1"/>
        <v>7848.2811999999994</v>
      </c>
      <c r="R36">
        <f t="shared" si="7"/>
        <v>669.15043425954309</v>
      </c>
      <c r="U36" s="10">
        <f t="shared" si="2"/>
        <v>7848.2811999999994</v>
      </c>
      <c r="V36">
        <f t="shared" si="8"/>
        <v>986.1223792103533</v>
      </c>
      <c r="Y36" s="9"/>
      <c r="Z36" s="4"/>
      <c r="AD36">
        <v>17</v>
      </c>
      <c r="AE36">
        <f t="shared" si="27"/>
        <v>0.73922842262590716</v>
      </c>
      <c r="AF36">
        <f t="shared" si="20"/>
        <v>1.0515477016626251E-2</v>
      </c>
      <c r="AH36">
        <f t="shared" si="3"/>
        <v>-2.8347737513028068</v>
      </c>
      <c r="AR36">
        <v>16.5</v>
      </c>
      <c r="AS36">
        <f t="shared" si="28"/>
        <v>0.42451413418144712</v>
      </c>
      <c r="AT36">
        <f t="shared" si="11"/>
        <v>0.57548586581855288</v>
      </c>
      <c r="AU36">
        <f t="shared" si="18"/>
        <v>5.6378848552143257E-3</v>
      </c>
      <c r="AV36" t="b">
        <f t="shared" si="19"/>
        <v>1</v>
      </c>
    </row>
    <row r="37" spans="1:54" x14ac:dyDescent="0.3">
      <c r="A37" t="s">
        <v>7</v>
      </c>
      <c r="B37" s="1">
        <v>51866</v>
      </c>
      <c r="C37">
        <v>4500</v>
      </c>
      <c r="D37">
        <v>4500</v>
      </c>
      <c r="E37">
        <f t="shared" si="29"/>
        <v>15441.013599999998</v>
      </c>
      <c r="F37">
        <v>287.49239999999998</v>
      </c>
      <c r="H37">
        <v>1930.1267</v>
      </c>
      <c r="I37">
        <v>2217.6190999999999</v>
      </c>
      <c r="J37">
        <v>210</v>
      </c>
      <c r="K37">
        <f t="shared" si="6"/>
        <v>17.5</v>
      </c>
      <c r="L37">
        <f t="shared" si="0"/>
        <v>386.40887090492765</v>
      </c>
      <c r="Q37" s="10">
        <f t="shared" si="1"/>
        <v>7063.4530799999993</v>
      </c>
      <c r="R37">
        <f t="shared" si="7"/>
        <v>627.27314868613394</v>
      </c>
      <c r="U37" s="10">
        <f t="shared" si="2"/>
        <v>7063.4530799999993</v>
      </c>
      <c r="V37">
        <f t="shared" si="8"/>
        <v>955.68062932270664</v>
      </c>
      <c r="Y37" s="8"/>
      <c r="Z37" s="4"/>
      <c r="AD37">
        <v>17.5</v>
      </c>
      <c r="AE37">
        <f t="shared" si="27"/>
        <v>0.7493363046058461</v>
      </c>
      <c r="AF37">
        <f t="shared" si="20"/>
        <v>1.0107881979938949E-2</v>
      </c>
      <c r="AH37">
        <f t="shared" si="3"/>
        <v>-2.9894089905104089</v>
      </c>
      <c r="AR37">
        <v>17</v>
      </c>
      <c r="AS37">
        <f t="shared" si="28"/>
        <v>0.41895014354091492</v>
      </c>
      <c r="AT37">
        <f t="shared" si="11"/>
        <v>0.58104985645908513</v>
      </c>
      <c r="AU37">
        <f t="shared" si="18"/>
        <v>5.563990640532257E-3</v>
      </c>
      <c r="AV37" t="b">
        <f t="shared" si="19"/>
        <v>1</v>
      </c>
    </row>
    <row r="38" spans="1:54" x14ac:dyDescent="0.3">
      <c r="A38" t="s">
        <v>7</v>
      </c>
      <c r="B38" s="1">
        <v>52047</v>
      </c>
      <c r="C38">
        <v>400</v>
      </c>
      <c r="D38">
        <v>400</v>
      </c>
      <c r="E38">
        <f t="shared" si="29"/>
        <v>13510.886899999998</v>
      </c>
      <c r="F38">
        <v>255.5488</v>
      </c>
      <c r="H38">
        <v>1930.1267</v>
      </c>
      <c r="I38">
        <v>2185.6754999999998</v>
      </c>
      <c r="J38">
        <v>216</v>
      </c>
      <c r="K38">
        <f t="shared" si="6"/>
        <v>18</v>
      </c>
      <c r="L38">
        <f t="shared" si="0"/>
        <v>362.29695151693733</v>
      </c>
      <c r="Q38" s="10">
        <f t="shared" si="1"/>
        <v>6278.6249599999992</v>
      </c>
      <c r="R38">
        <f t="shared" si="7"/>
        <v>587.63694635753973</v>
      </c>
      <c r="U38" s="10">
        <f t="shared" si="2"/>
        <v>6278.6249599999992</v>
      </c>
      <c r="V38">
        <f t="shared" si="8"/>
        <v>925.86746051932414</v>
      </c>
      <c r="Y38" s="9"/>
      <c r="Z38" s="4"/>
      <c r="AD38">
        <v>18</v>
      </c>
      <c r="AE38">
        <f t="shared" si="27"/>
        <v>0.75905239051985951</v>
      </c>
      <c r="AF38">
        <f t="shared" si="20"/>
        <v>9.7160859140134059E-3</v>
      </c>
      <c r="AH38">
        <f t="shared" si="3"/>
        <v>-3.1502798145935644</v>
      </c>
      <c r="AR38">
        <v>17.5</v>
      </c>
      <c r="AS38">
        <f t="shared" si="28"/>
        <v>0.41345907860380521</v>
      </c>
      <c r="AT38">
        <f t="shared" si="11"/>
        <v>0.58654092139619474</v>
      </c>
      <c r="AU38">
        <f t="shared" si="18"/>
        <v>5.4910649371096021E-3</v>
      </c>
      <c r="AV38" t="b">
        <f t="shared" si="19"/>
        <v>1</v>
      </c>
    </row>
    <row r="39" spans="1:54" x14ac:dyDescent="0.3">
      <c r="A39" t="s">
        <v>7</v>
      </c>
      <c r="B39" s="1">
        <v>52231</v>
      </c>
      <c r="C39">
        <v>3500</v>
      </c>
      <c r="D39">
        <v>3500</v>
      </c>
      <c r="E39">
        <f t="shared" si="29"/>
        <v>11580.760199999997</v>
      </c>
      <c r="F39">
        <v>223.6052</v>
      </c>
      <c r="H39">
        <v>1930.1267</v>
      </c>
      <c r="I39">
        <v>2153.7319000000002</v>
      </c>
      <c r="J39">
        <v>222</v>
      </c>
      <c r="K39">
        <f t="shared" si="6"/>
        <v>18.5</v>
      </c>
      <c r="L39">
        <f t="shared" si="0"/>
        <v>339.6170593797861</v>
      </c>
      <c r="Q39" s="10">
        <f t="shared" si="1"/>
        <v>5493.7968399999991</v>
      </c>
      <c r="R39">
        <f t="shared" si="7"/>
        <v>550.13101054118852</v>
      </c>
      <c r="U39" s="10">
        <f t="shared" si="2"/>
        <v>5493.7968399999991</v>
      </c>
      <c r="V39">
        <f t="shared" si="8"/>
        <v>896.67162499446181</v>
      </c>
      <c r="Y39" s="8"/>
      <c r="Z39" s="4"/>
      <c r="AD39">
        <v>18.5</v>
      </c>
      <c r="AE39">
        <f t="shared" si="27"/>
        <v>0.768391866947844</v>
      </c>
      <c r="AF39">
        <f t="shared" si="20"/>
        <v>9.3394764279844944E-3</v>
      </c>
      <c r="AH39">
        <f t="shared" si="3"/>
        <v>-3.3176376702402299</v>
      </c>
      <c r="AR39">
        <v>18</v>
      </c>
      <c r="AS39">
        <f t="shared" si="28"/>
        <v>0.4080399835528703</v>
      </c>
      <c r="AT39">
        <f t="shared" si="11"/>
        <v>0.5919600164471297</v>
      </c>
      <c r="AU39">
        <f t="shared" si="18"/>
        <v>5.4190950509349634E-3</v>
      </c>
      <c r="AV39" t="b">
        <f t="shared" si="19"/>
        <v>1</v>
      </c>
    </row>
    <row r="40" spans="1:54" x14ac:dyDescent="0.3">
      <c r="A40" t="s">
        <v>7</v>
      </c>
      <c r="B40" s="1">
        <v>52412</v>
      </c>
      <c r="C40">
        <v>300</v>
      </c>
      <c r="D40">
        <v>300</v>
      </c>
      <c r="E40">
        <f t="shared" si="29"/>
        <v>9650.6334999999963</v>
      </c>
      <c r="F40">
        <v>191.66159999999999</v>
      </c>
      <c r="H40">
        <v>1930.1267</v>
      </c>
      <c r="I40">
        <v>2121.7883000000002</v>
      </c>
      <c r="J40">
        <v>228</v>
      </c>
      <c r="K40">
        <f t="shared" si="6"/>
        <v>19</v>
      </c>
      <c r="L40">
        <f t="shared" si="0"/>
        <v>318.28690257818357</v>
      </c>
      <c r="Q40" s="10">
        <f t="shared" si="1"/>
        <v>4708.9687199999989</v>
      </c>
      <c r="R40">
        <f t="shared" si="7"/>
        <v>514.64974822299587</v>
      </c>
      <c r="U40" s="10">
        <f t="shared" si="2"/>
        <v>4708.9687199999989</v>
      </c>
      <c r="V40">
        <f t="shared" si="8"/>
        <v>868.08206180460115</v>
      </c>
      <c r="Y40" s="9"/>
      <c r="Z40" s="4"/>
      <c r="AD40">
        <v>19</v>
      </c>
      <c r="AE40">
        <f t="shared" si="27"/>
        <v>0.77736933181598333</v>
      </c>
      <c r="AF40">
        <f t="shared" si="20"/>
        <v>8.9774648681393288E-3</v>
      </c>
      <c r="AH40">
        <f t="shared" si="3"/>
        <v>-3.4917441435941079</v>
      </c>
      <c r="AR40">
        <v>18.5</v>
      </c>
      <c r="AS40">
        <f t="shared" si="28"/>
        <v>0.40269191509849778</v>
      </c>
      <c r="AT40">
        <f t="shared" si="11"/>
        <v>0.59730808490150222</v>
      </c>
      <c r="AU40">
        <f t="shared" si="18"/>
        <v>5.3480684543725232E-3</v>
      </c>
      <c r="AV40" t="b">
        <f t="shared" si="19"/>
        <v>1</v>
      </c>
    </row>
    <row r="41" spans="1:54" x14ac:dyDescent="0.3">
      <c r="A41" t="s">
        <v>7</v>
      </c>
      <c r="B41" s="1">
        <v>52596</v>
      </c>
      <c r="C41">
        <v>2500</v>
      </c>
      <c r="D41">
        <v>2500</v>
      </c>
      <c r="E41">
        <f t="shared" si="29"/>
        <v>7720.5067999999965</v>
      </c>
      <c r="F41">
        <v>159.71799999999999</v>
      </c>
      <c r="H41">
        <v>1930.1267</v>
      </c>
      <c r="I41">
        <v>2089.8447000000001</v>
      </c>
      <c r="J41">
        <v>234</v>
      </c>
      <c r="K41">
        <f t="shared" si="6"/>
        <v>19.5</v>
      </c>
      <c r="L41">
        <f t="shared" si="0"/>
        <v>298.22880802964676</v>
      </c>
      <c r="Q41" s="10">
        <f t="shared" si="1"/>
        <v>3924.1405999999988</v>
      </c>
      <c r="R41">
        <f t="shared" si="7"/>
        <v>481.09255164617639</v>
      </c>
      <c r="U41" s="10">
        <f t="shared" si="2"/>
        <v>3924.1405999999988</v>
      </c>
      <c r="V41">
        <f t="shared" si="8"/>
        <v>840.08789390235836</v>
      </c>
      <c r="Y41" s="8"/>
      <c r="Z41" s="4"/>
      <c r="AD41">
        <v>19.5</v>
      </c>
      <c r="AE41">
        <f t="shared" si="27"/>
        <v>0.78599881721381393</v>
      </c>
      <c r="AF41">
        <f t="shared" si="20"/>
        <v>8.6294853978305941E-3</v>
      </c>
      <c r="AH41">
        <f t="shared" si="3"/>
        <v>-3.6728713691228752</v>
      </c>
      <c r="AR41">
        <v>19</v>
      </c>
      <c r="AS41">
        <f t="shared" si="28"/>
        <v>0.39741394231451427</v>
      </c>
      <c r="AT41">
        <f t="shared" si="11"/>
        <v>0.60258605768548579</v>
      </c>
      <c r="AU41">
        <f t="shared" si="18"/>
        <v>5.2779727839835644E-3</v>
      </c>
      <c r="AV41" t="b">
        <f t="shared" si="19"/>
        <v>1</v>
      </c>
    </row>
    <row r="42" spans="1:54" x14ac:dyDescent="0.3">
      <c r="A42" t="s">
        <v>7</v>
      </c>
      <c r="B42" s="1">
        <v>52778</v>
      </c>
      <c r="C42">
        <v>200</v>
      </c>
      <c r="D42">
        <v>200</v>
      </c>
      <c r="E42">
        <f t="shared" si="29"/>
        <v>5790.3800999999967</v>
      </c>
      <c r="F42">
        <v>127.7744</v>
      </c>
      <c r="H42">
        <v>1930.1267</v>
      </c>
      <c r="I42">
        <v>2057.9011</v>
      </c>
      <c r="J42">
        <v>240</v>
      </c>
      <c r="K42">
        <f t="shared" si="6"/>
        <v>20</v>
      </c>
      <c r="L42">
        <f t="shared" si="0"/>
        <v>279.36946678474908</v>
      </c>
      <c r="Q42" s="10">
        <f t="shared" si="1"/>
        <v>3139.3124799999987</v>
      </c>
      <c r="R42">
        <f t="shared" si="7"/>
        <v>449.36357048788386</v>
      </c>
      <c r="U42" s="10">
        <f t="shared" si="2"/>
        <v>3139.3124799999987</v>
      </c>
      <c r="V42">
        <f t="shared" si="8"/>
        <v>812.67842521605201</v>
      </c>
      <c r="Y42" s="9"/>
      <c r="Z42" s="4"/>
      <c r="AD42">
        <v>20</v>
      </c>
      <c r="AE42">
        <f t="shared" si="27"/>
        <v>0.79429381132686872</v>
      </c>
      <c r="AF42">
        <f t="shared" si="20"/>
        <v>8.2949941130547877E-3</v>
      </c>
      <c r="AH42">
        <f t="shared" si="3"/>
        <v>-3.8613024549738144</v>
      </c>
      <c r="AR42">
        <v>19.5</v>
      </c>
      <c r="AS42">
        <f t="shared" si="28"/>
        <v>0.39220514647614102</v>
      </c>
      <c r="AT42">
        <f t="shared" si="11"/>
        <v>0.60779485352385898</v>
      </c>
      <c r="AU42">
        <f t="shared" si="18"/>
        <v>5.2087958383731925E-3</v>
      </c>
      <c r="AV42" t="b">
        <f t="shared" si="19"/>
        <v>1</v>
      </c>
    </row>
    <row r="43" spans="1:54" x14ac:dyDescent="0.3">
      <c r="A43" t="s">
        <v>7</v>
      </c>
      <c r="B43" s="1">
        <v>52962</v>
      </c>
      <c r="C43">
        <v>1500</v>
      </c>
      <c r="D43">
        <v>1500</v>
      </c>
      <c r="E43">
        <f t="shared" si="29"/>
        <v>3860.2533999999969</v>
      </c>
      <c r="F43">
        <v>95.830799999999996</v>
      </c>
      <c r="H43">
        <v>1930.1267</v>
      </c>
      <c r="I43">
        <v>2025.9575</v>
      </c>
      <c r="J43">
        <v>246</v>
      </c>
      <c r="K43">
        <f t="shared" si="6"/>
        <v>20.5</v>
      </c>
      <c r="L43">
        <f t="shared" si="0"/>
        <v>261.63969318051085</v>
      </c>
      <c r="Q43" s="10">
        <f t="shared" si="1"/>
        <v>2354.4843599999986</v>
      </c>
      <c r="R43">
        <f>AF43*Q43+I43*(1-AE43)</f>
        <v>419.37149420727513</v>
      </c>
      <c r="U43" s="10">
        <f t="shared" si="2"/>
        <v>2354.4843599999986</v>
      </c>
      <c r="V43">
        <f t="shared" si="8"/>
        <v>785.84313777423006</v>
      </c>
      <c r="Y43" s="8"/>
      <c r="Z43" s="4"/>
      <c r="AD43">
        <v>20.5</v>
      </c>
      <c r="AE43">
        <f t="shared" si="27"/>
        <v>0.80226727951917953</v>
      </c>
      <c r="AF43">
        <f t="shared" si="20"/>
        <v>7.9734681923108175E-3</v>
      </c>
      <c r="AH43">
        <f t="shared" si="3"/>
        <v>-4.0573319254816873</v>
      </c>
      <c r="AR43">
        <v>20</v>
      </c>
      <c r="AS43">
        <f t="shared" si="28"/>
        <v>0.38706462090007371</v>
      </c>
      <c r="AT43">
        <f t="shared" si="11"/>
        <v>0.61293537909992635</v>
      </c>
      <c r="AU43">
        <f t="shared" si="18"/>
        <v>5.1405255760673674E-3</v>
      </c>
      <c r="AV43" t="b">
        <f t="shared" si="19"/>
        <v>1</v>
      </c>
    </row>
    <row r="44" spans="1:54" x14ac:dyDescent="0.3">
      <c r="A44" t="s">
        <v>7</v>
      </c>
      <c r="B44" s="1">
        <v>53143</v>
      </c>
      <c r="C44">
        <v>100</v>
      </c>
      <c r="D44">
        <v>100</v>
      </c>
      <c r="E44">
        <f t="shared" si="29"/>
        <v>1930.1266999999968</v>
      </c>
      <c r="F44">
        <v>63.8872</v>
      </c>
      <c r="H44">
        <v>1930.1267</v>
      </c>
      <c r="I44">
        <v>1994.0138999999999</v>
      </c>
      <c r="J44">
        <v>252</v>
      </c>
      <c r="K44">
        <f t="shared" si="6"/>
        <v>21</v>
      </c>
      <c r="L44">
        <f t="shared" si="0"/>
        <v>244.97419710170706</v>
      </c>
      <c r="Q44" s="10">
        <f t="shared" si="1"/>
        <v>1569.6562399999989</v>
      </c>
      <c r="R44">
        <f t="shared" si="7"/>
        <v>391.02934411877908</v>
      </c>
      <c r="U44" s="10">
        <f t="shared" si="2"/>
        <v>1569.6562399999989</v>
      </c>
      <c r="V44">
        <f t="shared" si="8"/>
        <v>759.57168887448904</v>
      </c>
      <c r="Y44" s="9"/>
      <c r="Z44" s="4"/>
      <c r="AD44">
        <v>21</v>
      </c>
      <c r="AE44">
        <f t="shared" si="27"/>
        <v>0.80993168459859199</v>
      </c>
      <c r="AF44">
        <f t="shared" si="20"/>
        <v>7.6644050794124619E-3</v>
      </c>
      <c r="AH44">
        <f t="shared" si="3"/>
        <v>-4.2612661815205</v>
      </c>
      <c r="AR44">
        <v>20.5</v>
      </c>
      <c r="AS44">
        <f t="shared" si="28"/>
        <v>0.38199147078665813</v>
      </c>
      <c r="AT44">
        <f t="shared" si="11"/>
        <v>0.61800852921334193</v>
      </c>
      <c r="AU44">
        <f t="shared" si="18"/>
        <v>5.073150113415581E-3</v>
      </c>
      <c r="AV44" t="b">
        <f t="shared" si="19"/>
        <v>1</v>
      </c>
    </row>
    <row r="45" spans="1:54" x14ac:dyDescent="0.3">
      <c r="A45" t="s">
        <v>7</v>
      </c>
      <c r="B45" s="1">
        <v>53327</v>
      </c>
      <c r="C45">
        <v>500</v>
      </c>
      <c r="D45">
        <v>500</v>
      </c>
      <c r="E45">
        <f t="shared" si="29"/>
        <v>-3.1832314562052488E-12</v>
      </c>
      <c r="F45">
        <v>31.9436</v>
      </c>
      <c r="H45">
        <v>1930.1267</v>
      </c>
      <c r="I45">
        <v>1962.0703000000001</v>
      </c>
      <c r="J45">
        <v>258</v>
      </c>
      <c r="K45">
        <f t="shared" si="6"/>
        <v>21.5</v>
      </c>
      <c r="L45">
        <f t="shared" si="0"/>
        <v>229.31136864460785</v>
      </c>
      <c r="Q45" s="10">
        <f t="shared" si="1"/>
        <v>784.82811999999876</v>
      </c>
      <c r="R45">
        <f t="shared" si="7"/>
        <v>364.25427476365019</v>
      </c>
      <c r="U45" s="10">
        <f t="shared" si="2"/>
        <v>784.82811999999876</v>
      </c>
      <c r="V45">
        <f t="shared" si="8"/>
        <v>733.85390829590801</v>
      </c>
      <c r="Y45" s="8"/>
      <c r="Z45" s="4"/>
      <c r="AD45">
        <v>21.5</v>
      </c>
      <c r="AE45">
        <f t="shared" si="27"/>
        <v>0.81729900629656671</v>
      </c>
      <c r="AF45">
        <f t="shared" si="20"/>
        <v>7.3673216979747158E-3</v>
      </c>
      <c r="AH45">
        <f t="shared" si="3"/>
        <v>-4.4734239794187172</v>
      </c>
      <c r="AR45">
        <v>21</v>
      </c>
      <c r="AS45">
        <f t="shared" si="28"/>
        <v>0.37698481306413428</v>
      </c>
      <c r="AT45">
        <f t="shared" si="11"/>
        <v>0.62301518693586577</v>
      </c>
      <c r="AU45">
        <f t="shared" si="18"/>
        <v>5.006657722523844E-3</v>
      </c>
      <c r="AV45" t="b">
        <f t="shared" si="19"/>
        <v>1</v>
      </c>
    </row>
    <row r="46" spans="1:54" x14ac:dyDescent="0.3">
      <c r="AR46">
        <v>21.5</v>
      </c>
      <c r="AS46">
        <f t="shared" si="28"/>
        <v>0.37204377623492224</v>
      </c>
      <c r="AT46">
        <f t="shared" si="11"/>
        <v>0.62795622376507776</v>
      </c>
      <c r="AU46">
        <f t="shared" si="18"/>
        <v>4.9410368292119866E-3</v>
      </c>
      <c r="AV46" t="b">
        <f t="shared" si="19"/>
        <v>1</v>
      </c>
    </row>
    <row r="47" spans="1:54" x14ac:dyDescent="0.3">
      <c r="H47">
        <f>SUM(H26:H45)</f>
        <v>38602.534000000007</v>
      </c>
      <c r="AR47">
        <v>22</v>
      </c>
      <c r="AS47">
        <f t="shared" si="28"/>
        <v>0.36716750022392247</v>
      </c>
      <c r="AT47">
        <f t="shared" si="11"/>
        <v>0.63283249977607747</v>
      </c>
      <c r="AU47">
        <f t="shared" si="18"/>
        <v>4.8762760109997139E-3</v>
      </c>
      <c r="AV47" t="b">
        <f t="shared" ref="AV47:AV110" si="30">AS47&lt;=AS46</f>
        <v>1</v>
      </c>
    </row>
    <row r="48" spans="1:54" x14ac:dyDescent="0.3">
      <c r="H48">
        <v>38606.080000000002</v>
      </c>
      <c r="AR48">
        <v>22.5</v>
      </c>
      <c r="AS48">
        <f>$AS$19*EXP(-$AN$11*(AR48-$AJ$11))</f>
        <v>0.36235513622880444</v>
      </c>
      <c r="AT48">
        <f t="shared" si="11"/>
        <v>0.63764486377119556</v>
      </c>
      <c r="AU48">
        <f t="shared" si="18"/>
        <v>4.8123639951180852E-3</v>
      </c>
      <c r="AV48" t="b">
        <f t="shared" si="30"/>
        <v>1</v>
      </c>
    </row>
    <row r="49" spans="44:48" x14ac:dyDescent="0.3">
      <c r="AR49">
        <v>23</v>
      </c>
      <c r="AS49">
        <f t="shared" si="28"/>
        <v>0.35760584657225775</v>
      </c>
      <c r="AT49">
        <f t="shared" si="11"/>
        <v>0.6423941534277422</v>
      </c>
      <c r="AU49">
        <f t="shared" si="18"/>
        <v>4.7492896565466403E-3</v>
      </c>
      <c r="AV49" t="b">
        <f t="shared" si="30"/>
        <v>1</v>
      </c>
    </row>
    <row r="50" spans="44:48" x14ac:dyDescent="0.3">
      <c r="AR50">
        <v>23.5</v>
      </c>
      <c r="AS50">
        <f t="shared" si="28"/>
        <v>0.3529188045561793</v>
      </c>
      <c r="AT50">
        <f t="shared" si="11"/>
        <v>0.6470811954438207</v>
      </c>
      <c r="AU50">
        <f t="shared" si="18"/>
        <v>4.687042016078502E-3</v>
      </c>
      <c r="AV50" t="b">
        <f t="shared" si="30"/>
        <v>1</v>
      </c>
    </row>
    <row r="51" spans="44:48" x14ac:dyDescent="0.3">
      <c r="AR51">
        <v>24</v>
      </c>
      <c r="AS51">
        <f t="shared" si="28"/>
        <v>0.34829319431777189</v>
      </c>
      <c r="AT51">
        <f t="shared" si="11"/>
        <v>0.65170680568222816</v>
      </c>
      <c r="AU51">
        <f t="shared" si="18"/>
        <v>4.6256102384074627E-3</v>
      </c>
      <c r="AV51" t="b">
        <f t="shared" si="30"/>
        <v>1</v>
      </c>
    </row>
    <row r="52" spans="44:48" x14ac:dyDescent="0.3">
      <c r="AR52">
        <v>24.5</v>
      </c>
      <c r="AS52">
        <f t="shared" si="28"/>
        <v>0.34372821068752879</v>
      </c>
      <c r="AT52">
        <f t="shared" si="11"/>
        <v>0.65627178931247121</v>
      </c>
      <c r="AU52">
        <f t="shared" si="18"/>
        <v>4.5649836302430469E-3</v>
      </c>
      <c r="AV52" t="b">
        <f t="shared" si="30"/>
        <v>1</v>
      </c>
    </row>
    <row r="53" spans="44:48" x14ac:dyDescent="0.3">
      <c r="AR53">
        <v>25</v>
      </c>
      <c r="AS53">
        <f t="shared" si="28"/>
        <v>0.33922305904907984</v>
      </c>
      <c r="AT53">
        <f t="shared" si="11"/>
        <v>0.6607769409509201</v>
      </c>
      <c r="AU53">
        <f t="shared" si="18"/>
        <v>4.5051516384488899E-3</v>
      </c>
      <c r="AV53" t="b">
        <f t="shared" si="30"/>
        <v>1</v>
      </c>
    </row>
    <row r="54" spans="44:48" x14ac:dyDescent="0.3">
      <c r="AR54">
        <v>25.5</v>
      </c>
      <c r="AS54">
        <f t="shared" si="28"/>
        <v>0.33477695520087436</v>
      </c>
      <c r="AT54">
        <f t="shared" si="11"/>
        <v>0.66522304479912564</v>
      </c>
      <c r="AU54">
        <f t="shared" si="18"/>
        <v>4.4461038482055404E-3</v>
      </c>
      <c r="AV54" t="b">
        <f t="shared" si="30"/>
        <v>1</v>
      </c>
    </row>
    <row r="55" spans="44:48" x14ac:dyDescent="0.3">
      <c r="AR55">
        <v>26</v>
      </c>
      <c r="AS55">
        <f t="shared" si="28"/>
        <v>0.33038912521967667</v>
      </c>
      <c r="AT55">
        <f t="shared" si="11"/>
        <v>0.66961087478032333</v>
      </c>
      <c r="AU55">
        <f t="shared" si="18"/>
        <v>4.3878299811976884E-3</v>
      </c>
      <c r="AV55" t="b">
        <f t="shared" si="30"/>
        <v>1</v>
      </c>
    </row>
    <row r="56" spans="44:48" x14ac:dyDescent="0.3">
      <c r="AR56">
        <v>26.5</v>
      </c>
      <c r="AS56">
        <f t="shared" si="28"/>
        <v>0.32605880532585158</v>
      </c>
      <c r="AT56">
        <f t="shared" si="11"/>
        <v>0.67394119467414848</v>
      </c>
      <c r="AU56">
        <f t="shared" si="18"/>
        <v>4.3303198938251519E-3</v>
      </c>
      <c r="AV56" t="b">
        <f t="shared" si="30"/>
        <v>1</v>
      </c>
    </row>
    <row r="57" spans="44:48" x14ac:dyDescent="0.3">
      <c r="AR57">
        <v>27</v>
      </c>
      <c r="AS57">
        <f t="shared" si="28"/>
        <v>0.32178524175041423</v>
      </c>
      <c r="AT57">
        <f t="shared" si="11"/>
        <v>0.67821475824958577</v>
      </c>
      <c r="AU57">
        <f t="shared" si="18"/>
        <v>4.2735635754372892E-3</v>
      </c>
      <c r="AV57" t="b">
        <f t="shared" si="30"/>
        <v>1</v>
      </c>
    </row>
    <row r="58" spans="44:48" x14ac:dyDescent="0.3">
      <c r="AR58">
        <v>27.5</v>
      </c>
      <c r="AS58">
        <f t="shared" si="28"/>
        <v>0.31756769060382417</v>
      </c>
      <c r="AT58">
        <f t="shared" si="11"/>
        <v>0.68243230939617583</v>
      </c>
      <c r="AU58">
        <f t="shared" si="18"/>
        <v>4.2175511465900595E-3</v>
      </c>
      <c r="AV58" t="b">
        <f t="shared" si="30"/>
        <v>1</v>
      </c>
    </row>
    <row r="59" spans="44:48" x14ac:dyDescent="0.3">
      <c r="AR59">
        <v>28</v>
      </c>
      <c r="AS59">
        <f t="shared" si="28"/>
        <v>0.31340541774649722</v>
      </c>
      <c r="AT59">
        <f t="shared" si="11"/>
        <v>0.68659458225350278</v>
      </c>
      <c r="AU59">
        <f t="shared" si="18"/>
        <v>4.1622728573269541E-3</v>
      </c>
      <c r="AV59" t="b">
        <f t="shared" si="30"/>
        <v>1</v>
      </c>
    </row>
    <row r="60" spans="44:48" x14ac:dyDescent="0.3">
      <c r="AR60">
        <v>28.5</v>
      </c>
      <c r="AS60">
        <f t="shared" si="28"/>
        <v>0.30929769866101614</v>
      </c>
      <c r="AT60">
        <f t="shared" si="11"/>
        <v>0.69070230133898392</v>
      </c>
      <c r="AU60">
        <f t="shared" si="18"/>
        <v>4.1077190854811318E-3</v>
      </c>
      <c r="AV60" t="b">
        <f t="shared" si="30"/>
        <v>1</v>
      </c>
    </row>
    <row r="61" spans="44:48" x14ac:dyDescent="0.3">
      <c r="AR61">
        <v>29</v>
      </c>
      <c r="AS61">
        <f t="shared" si="28"/>
        <v>0.30524381832601549</v>
      </c>
      <c r="AT61">
        <f t="shared" si="11"/>
        <v>0.69475618167398445</v>
      </c>
      <c r="AU61">
        <f t="shared" si="18"/>
        <v>4.053880335000537E-3</v>
      </c>
      <c r="AV61" t="b">
        <f t="shared" si="30"/>
        <v>1</v>
      </c>
    </row>
    <row r="62" spans="44:48" x14ac:dyDescent="0.3">
      <c r="AR62">
        <v>29.5</v>
      </c>
      <c r="AS62">
        <f t="shared" si="28"/>
        <v>0.30124307109171894</v>
      </c>
      <c r="AT62">
        <f t="shared" si="11"/>
        <v>0.69875692890828112</v>
      </c>
      <c r="AU62">
        <f t="shared" si="18"/>
        <v>4.0007472342966643E-3</v>
      </c>
      <c r="AV62" t="b">
        <f t="shared" si="30"/>
        <v>1</v>
      </c>
    </row>
    <row r="63" spans="44:48" x14ac:dyDescent="0.3">
      <c r="AR63">
        <v>30</v>
      </c>
      <c r="AS63">
        <f t="shared" si="28"/>
        <v>0.29729476055710879</v>
      </c>
      <c r="AT63">
        <f t="shared" si="11"/>
        <v>0.70270523944289121</v>
      </c>
      <c r="AU63">
        <f t="shared" si="18"/>
        <v>3.9483105346100889E-3</v>
      </c>
      <c r="AV63" t="b">
        <f t="shared" si="30"/>
        <v>1</v>
      </c>
    </row>
    <row r="64" spans="44:48" x14ac:dyDescent="0.3">
      <c r="AR64">
        <v>30.5</v>
      </c>
      <c r="AS64">
        <f t="shared" si="28"/>
        <v>0.29339819944870532</v>
      </c>
      <c r="AT64">
        <f t="shared" si="11"/>
        <v>0.70660180055129462</v>
      </c>
      <c r="AU64">
        <f t="shared" si="18"/>
        <v>3.896561108403418E-3</v>
      </c>
      <c r="AV64" t="b">
        <f t="shared" si="30"/>
        <v>1</v>
      </c>
    </row>
    <row r="65" spans="44:48" x14ac:dyDescent="0.3">
      <c r="AR65">
        <v>31</v>
      </c>
      <c r="AS65">
        <f t="shared" si="28"/>
        <v>0.28955270950093409</v>
      </c>
      <c r="AT65">
        <f t="shared" si="11"/>
        <v>0.71044729049906596</v>
      </c>
      <c r="AU65">
        <f t="shared" si="18"/>
        <v>3.8454899477713411E-3</v>
      </c>
      <c r="AV65" t="b">
        <f t="shared" si="30"/>
        <v>1</v>
      </c>
    </row>
    <row r="66" spans="44:48" x14ac:dyDescent="0.3">
      <c r="AR66">
        <v>31.5</v>
      </c>
      <c r="AS66">
        <f t="shared" si="28"/>
        <v>0.28575762133806198</v>
      </c>
      <c r="AT66">
        <f t="shared" si="11"/>
        <v>0.71424237866193807</v>
      </c>
      <c r="AU66">
        <f t="shared" si="18"/>
        <v>3.7950881628721067E-3</v>
      </c>
      <c r="AV66" t="b">
        <f t="shared" si="30"/>
        <v>1</v>
      </c>
    </row>
    <row r="67" spans="44:48" x14ac:dyDescent="0.3">
      <c r="AR67">
        <v>32</v>
      </c>
      <c r="AS67">
        <f t="shared" si="28"/>
        <v>0.28201227435768056</v>
      </c>
      <c r="AT67">
        <f t="shared" si="11"/>
        <v>0.7179877256423195</v>
      </c>
      <c r="AU67">
        <f t="shared" si="18"/>
        <v>3.7453469803814254E-3</v>
      </c>
      <c r="AV67" t="b">
        <f t="shared" si="30"/>
        <v>1</v>
      </c>
    </row>
    <row r="68" spans="44:48" x14ac:dyDescent="0.3">
      <c r="AR68">
        <v>32.5</v>
      </c>
      <c r="AS68">
        <f t="shared" si="28"/>
        <v>0.27831601661571653</v>
      </c>
      <c r="AT68">
        <f t="shared" ref="AT68:AT131" si="31">1-AS68</f>
        <v>0.72168398338428341</v>
      </c>
      <c r="AU68">
        <f t="shared" si="18"/>
        <v>3.6962577419639153E-3</v>
      </c>
      <c r="AV68" t="b">
        <f t="shared" si="30"/>
        <v>1</v>
      </c>
    </row>
    <row r="69" spans="44:48" x14ac:dyDescent="0.3">
      <c r="AR69">
        <v>33</v>
      </c>
      <c r="AS69">
        <f t="shared" si="28"/>
        <v>0.27466820471294928</v>
      </c>
      <c r="AT69">
        <f t="shared" si="31"/>
        <v>0.72533179528705072</v>
      </c>
      <c r="AU69">
        <f t="shared" ref="AU69:AU132" si="32">AT69-AT68</f>
        <v>3.6478119027673062E-3</v>
      </c>
      <c r="AV69" t="b">
        <f t="shared" si="30"/>
        <v>1</v>
      </c>
    </row>
    <row r="70" spans="44:48" x14ac:dyDescent="0.3">
      <c r="AR70">
        <v>33.5</v>
      </c>
      <c r="AS70">
        <f t="shared" si="28"/>
        <v>0.2710682036830156</v>
      </c>
      <c r="AT70">
        <f t="shared" si="31"/>
        <v>0.72893179631698435</v>
      </c>
      <c r="AU70">
        <f t="shared" si="32"/>
        <v>3.6000010299336305E-3</v>
      </c>
      <c r="AV70" t="b">
        <f t="shared" si="30"/>
        <v>1</v>
      </c>
    </row>
    <row r="71" spans="44:48" x14ac:dyDescent="0.3">
      <c r="AR71">
        <v>34</v>
      </c>
      <c r="AS71">
        <f t="shared" si="28"/>
        <v>0.26751538688188292</v>
      </c>
      <c r="AT71">
        <f t="shared" si="31"/>
        <v>0.73248461311811708</v>
      </c>
      <c r="AU71">
        <f t="shared" si="32"/>
        <v>3.5528168011327299E-3</v>
      </c>
      <c r="AV71" t="b">
        <f t="shared" si="30"/>
        <v>1</v>
      </c>
    </row>
    <row r="72" spans="44:48" x14ac:dyDescent="0.3">
      <c r="AR72">
        <v>34.5</v>
      </c>
      <c r="AS72">
        <f t="shared" si="28"/>
        <v>0.2640091358787704</v>
      </c>
      <c r="AT72">
        <f t="shared" si="31"/>
        <v>0.7359908641212296</v>
      </c>
      <c r="AU72">
        <f t="shared" si="32"/>
        <v>3.506251003112526E-3</v>
      </c>
      <c r="AV72" t="b">
        <f t="shared" si="30"/>
        <v>1</v>
      </c>
    </row>
    <row r="73" spans="44:48" x14ac:dyDescent="0.3">
      <c r="AR73">
        <v>35</v>
      </c>
      <c r="AS73">
        <f t="shared" si="28"/>
        <v>0.26054884034850051</v>
      </c>
      <c r="AT73">
        <f t="shared" si="31"/>
        <v>0.73945115965149943</v>
      </c>
      <c r="AU73">
        <f t="shared" si="32"/>
        <v>3.4602955302698302E-3</v>
      </c>
      <c r="AV73" t="b">
        <f t="shared" si="30"/>
        <v>1</v>
      </c>
    </row>
    <row r="74" spans="44:48" x14ac:dyDescent="0.3">
      <c r="AR74">
        <v>35.5</v>
      </c>
      <c r="AS74">
        <f t="shared" si="28"/>
        <v>0.25713389796526076</v>
      </c>
      <c r="AT74">
        <f t="shared" si="31"/>
        <v>0.74286610203473924</v>
      </c>
      <c r="AU74">
        <f t="shared" si="32"/>
        <v>3.4149423832398051E-3</v>
      </c>
      <c r="AV74" t="b">
        <f t="shared" si="30"/>
        <v>1</v>
      </c>
    </row>
    <row r="75" spans="44:48" x14ac:dyDescent="0.3">
      <c r="AR75">
        <v>36</v>
      </c>
      <c r="AS75">
        <f t="shared" si="28"/>
        <v>0.25376371429775829</v>
      </c>
      <c r="AT75">
        <f t="shared" si="31"/>
        <v>0.74623628570224176</v>
      </c>
      <c r="AU75">
        <f t="shared" si="32"/>
        <v>3.3701836675025243E-3</v>
      </c>
      <c r="AV75" t="b">
        <f t="shared" si="30"/>
        <v>1</v>
      </c>
    </row>
    <row r="76" spans="44:48" x14ac:dyDescent="0.3">
      <c r="AR76">
        <v>36.5</v>
      </c>
      <c r="AS76">
        <f t="shared" si="28"/>
        <v>0.25043770270574872</v>
      </c>
      <c r="AT76">
        <f t="shared" si="31"/>
        <v>0.74956229729425128</v>
      </c>
      <c r="AU76">
        <f t="shared" si="32"/>
        <v>3.3260115920095146E-3</v>
      </c>
      <c r="AV76" t="b">
        <f t="shared" si="30"/>
        <v>1</v>
      </c>
    </row>
    <row r="77" spans="44:48" x14ac:dyDescent="0.3">
      <c r="AR77">
        <v>37</v>
      </c>
      <c r="AS77">
        <f t="shared" si="28"/>
        <v>0.2471552842379208</v>
      </c>
      <c r="AT77">
        <f t="shared" si="31"/>
        <v>0.75284471576207923</v>
      </c>
      <c r="AU77">
        <f t="shared" si="32"/>
        <v>3.2824184678279522E-3</v>
      </c>
      <c r="AV77" t="b">
        <f t="shared" si="30"/>
        <v>1</v>
      </c>
    </row>
    <row r="78" spans="44:48" x14ac:dyDescent="0.3">
      <c r="AR78">
        <v>37.5</v>
      </c>
      <c r="AS78">
        <f t="shared" si="28"/>
        <v>0.24391588753111984</v>
      </c>
      <c r="AT78">
        <f t="shared" si="31"/>
        <v>0.75608411246888019</v>
      </c>
      <c r="AU78">
        <f t="shared" si="32"/>
        <v>3.2393967068009566E-3</v>
      </c>
      <c r="AV78" t="b">
        <f t="shared" si="30"/>
        <v>1</v>
      </c>
    </row>
    <row r="79" spans="44:48" x14ac:dyDescent="0.3">
      <c r="AR79">
        <v>38</v>
      </c>
      <c r="AS79">
        <f t="shared" si="28"/>
        <v>0.24071894871089158</v>
      </c>
      <c r="AT79">
        <f t="shared" si="31"/>
        <v>0.75928105128910839</v>
      </c>
      <c r="AU79">
        <f t="shared" si="32"/>
        <v>3.1969388202282012E-3</v>
      </c>
      <c r="AV79" t="b">
        <f t="shared" si="30"/>
        <v>1</v>
      </c>
    </row>
    <row r="80" spans="44:48" x14ac:dyDescent="0.3">
      <c r="AR80">
        <v>38.5</v>
      </c>
      <c r="AS80">
        <f t="shared" si="28"/>
        <v>0.23756391129333021</v>
      </c>
      <c r="AT80">
        <f t="shared" si="31"/>
        <v>0.76243608870666979</v>
      </c>
      <c r="AU80">
        <f t="shared" si="32"/>
        <v>3.1550374175614015E-3</v>
      </c>
      <c r="AV80" t="b">
        <f t="shared" si="30"/>
        <v>1</v>
      </c>
    </row>
    <row r="81" spans="44:48" x14ac:dyDescent="0.3">
      <c r="AR81">
        <v>39</v>
      </c>
      <c r="AS81">
        <f t="shared" si="28"/>
        <v>0.23445022608821212</v>
      </c>
      <c r="AT81">
        <f t="shared" si="31"/>
        <v>0.76554977391178791</v>
      </c>
      <c r="AU81">
        <f t="shared" si="32"/>
        <v>3.1136852051181219E-3</v>
      </c>
      <c r="AV81" t="b">
        <f t="shared" si="30"/>
        <v>1</v>
      </c>
    </row>
    <row r="82" spans="44:48" x14ac:dyDescent="0.3">
      <c r="AR82">
        <v>39.5</v>
      </c>
      <c r="AS82">
        <f t="shared" si="28"/>
        <v>0.23137735110339974</v>
      </c>
      <c r="AT82">
        <f t="shared" si="31"/>
        <v>0.76862264889660026</v>
      </c>
      <c r="AU82">
        <f t="shared" si="32"/>
        <v>3.072874984812346E-3</v>
      </c>
      <c r="AV82" t="b">
        <f t="shared" si="30"/>
        <v>1</v>
      </c>
    </row>
    <row r="83" spans="44:48" x14ac:dyDescent="0.3">
      <c r="AR83">
        <v>40</v>
      </c>
      <c r="AS83">
        <f t="shared" si="28"/>
        <v>0.22834475145049823</v>
      </c>
      <c r="AT83">
        <f t="shared" si="31"/>
        <v>0.77165524854950174</v>
      </c>
      <c r="AU83">
        <f t="shared" si="32"/>
        <v>3.0325996529014798E-3</v>
      </c>
      <c r="AV83" t="b">
        <f t="shared" si="30"/>
        <v>1</v>
      </c>
    </row>
    <row r="84" spans="44:48" x14ac:dyDescent="0.3">
      <c r="AR84">
        <v>40.5</v>
      </c>
      <c r="AS84">
        <f t="shared" si="28"/>
        <v>0.22535189925174864</v>
      </c>
      <c r="AT84">
        <f t="shared" si="31"/>
        <v>0.7746481007482513</v>
      </c>
      <c r="AU84">
        <f t="shared" si="32"/>
        <v>2.9928521987495627E-3</v>
      </c>
      <c r="AV84" t="b">
        <f t="shared" si="30"/>
        <v>1</v>
      </c>
    </row>
    <row r="85" spans="44:48" x14ac:dyDescent="0.3">
      <c r="AR85">
        <v>41</v>
      </c>
      <c r="AS85">
        <f t="shared" ref="AS85:AS148" si="33">$AS$19*EXP(-$AN$11*(AR85-$AJ$11))</f>
        <v>0.22239827354814148</v>
      </c>
      <c r="AT85">
        <f t="shared" si="31"/>
        <v>0.77760172645185854</v>
      </c>
      <c r="AU85">
        <f t="shared" si="32"/>
        <v>2.9536257036072433E-3</v>
      </c>
      <c r="AV85" t="b">
        <f t="shared" si="30"/>
        <v>1</v>
      </c>
    </row>
    <row r="86" spans="44:48" x14ac:dyDescent="0.3">
      <c r="AR86">
        <v>41.5</v>
      </c>
      <c r="AS86">
        <f t="shared" si="33"/>
        <v>0.21948336020873438</v>
      </c>
      <c r="AT86">
        <f t="shared" si="31"/>
        <v>0.78051663979126562</v>
      </c>
      <c r="AU86">
        <f t="shared" si="32"/>
        <v>2.914913339407077E-3</v>
      </c>
      <c r="AV86" t="b">
        <f t="shared" si="30"/>
        <v>1</v>
      </c>
    </row>
    <row r="87" spans="44:48" x14ac:dyDescent="0.3">
      <c r="AR87">
        <v>42</v>
      </c>
      <c r="AS87">
        <f t="shared" si="33"/>
        <v>0.21660665184115863</v>
      </c>
      <c r="AT87">
        <f t="shared" si="31"/>
        <v>0.78339334815884132</v>
      </c>
      <c r="AU87">
        <f t="shared" si="32"/>
        <v>2.8767083675756977E-3</v>
      </c>
      <c r="AV87" t="b">
        <f t="shared" si="30"/>
        <v>1</v>
      </c>
    </row>
    <row r="88" spans="44:48" x14ac:dyDescent="0.3">
      <c r="AR88">
        <v>42.5</v>
      </c>
      <c r="AS88">
        <f t="shared" si="33"/>
        <v>0.21376764770329856</v>
      </c>
      <c r="AT88">
        <f t="shared" si="31"/>
        <v>0.78623235229670141</v>
      </c>
      <c r="AU88">
        <f t="shared" si="32"/>
        <v>2.8390041378600905E-3</v>
      </c>
      <c r="AV88" t="b">
        <f t="shared" si="30"/>
        <v>1</v>
      </c>
    </row>
    <row r="89" spans="44:48" x14ac:dyDescent="0.3">
      <c r="AR89">
        <v>43</v>
      </c>
      <c r="AS89">
        <f t="shared" si="33"/>
        <v>0.21096585361612846</v>
      </c>
      <c r="AT89">
        <f t="shared" si="31"/>
        <v>0.78903414638387148</v>
      </c>
      <c r="AU89">
        <f t="shared" si="32"/>
        <v>2.8017940871700731E-3</v>
      </c>
      <c r="AV89" t="b">
        <f t="shared" si="30"/>
        <v>1</v>
      </c>
    </row>
    <row r="90" spans="44:48" x14ac:dyDescent="0.3">
      <c r="AR90">
        <v>43.5</v>
      </c>
      <c r="AS90">
        <f t="shared" si="33"/>
        <v>0.20820078187769184</v>
      </c>
      <c r="AT90">
        <f t="shared" si="31"/>
        <v>0.79179921812230813</v>
      </c>
      <c r="AU90">
        <f t="shared" si="32"/>
        <v>2.765071738436653E-3</v>
      </c>
      <c r="AV90" t="b">
        <f t="shared" si="30"/>
        <v>1</v>
      </c>
    </row>
    <row r="91" spans="44:48" x14ac:dyDescent="0.3">
      <c r="AR91">
        <v>44</v>
      </c>
      <c r="AS91">
        <f t="shared" si="33"/>
        <v>0.20547195117820841</v>
      </c>
      <c r="AT91">
        <f t="shared" si="31"/>
        <v>0.79452804882179162</v>
      </c>
      <c r="AU91">
        <f t="shared" si="32"/>
        <v>2.7288306994834866E-3</v>
      </c>
      <c r="AV91" t="b">
        <f t="shared" si="30"/>
        <v>1</v>
      </c>
    </row>
    <row r="92" spans="44:48" x14ac:dyDescent="0.3">
      <c r="AR92">
        <v>44.5</v>
      </c>
      <c r="AS92">
        <f t="shared" si="33"/>
        <v>0.20277888651629358</v>
      </c>
      <c r="AT92">
        <f t="shared" si="31"/>
        <v>0.79722111348370639</v>
      </c>
      <c r="AU92">
        <f t="shared" si="32"/>
        <v>2.693064661914768E-3</v>
      </c>
      <c r="AV92" t="b">
        <f t="shared" si="30"/>
        <v>1</v>
      </c>
    </row>
    <row r="93" spans="44:48" x14ac:dyDescent="0.3">
      <c r="AR93">
        <v>45</v>
      </c>
      <c r="AS93">
        <f t="shared" si="33"/>
        <v>0.20012111911627589</v>
      </c>
      <c r="AT93">
        <f t="shared" si="31"/>
        <v>0.79987888088372405</v>
      </c>
      <c r="AU93">
        <f t="shared" si="32"/>
        <v>2.6577674000176632E-3</v>
      </c>
      <c r="AV93" t="b">
        <f t="shared" si="30"/>
        <v>1</v>
      </c>
    </row>
    <row r="94" spans="44:48" x14ac:dyDescent="0.3">
      <c r="AR94">
        <v>45.5</v>
      </c>
      <c r="AS94">
        <f t="shared" si="33"/>
        <v>0.19749818634659844</v>
      </c>
      <c r="AT94">
        <f t="shared" si="31"/>
        <v>0.80250181365340156</v>
      </c>
      <c r="AU94">
        <f t="shared" si="32"/>
        <v>2.6229327696775107E-3</v>
      </c>
      <c r="AV94" t="b">
        <f t="shared" si="30"/>
        <v>1</v>
      </c>
    </row>
    <row r="95" spans="44:48" x14ac:dyDescent="0.3">
      <c r="AR95">
        <v>46</v>
      </c>
      <c r="AS95">
        <f t="shared" si="33"/>
        <v>0.19490963163928954</v>
      </c>
      <c r="AT95">
        <f t="shared" si="31"/>
        <v>0.80509036836071046</v>
      </c>
      <c r="AU95">
        <f t="shared" si="32"/>
        <v>2.5885547073088988E-3</v>
      </c>
      <c r="AV95" t="b">
        <f t="shared" si="30"/>
        <v>1</v>
      </c>
    </row>
    <row r="96" spans="44:48" x14ac:dyDescent="0.3">
      <c r="AR96">
        <v>46.5</v>
      </c>
      <c r="AS96">
        <f t="shared" si="33"/>
        <v>0.19235500441048908</v>
      </c>
      <c r="AT96">
        <f t="shared" si="31"/>
        <v>0.80764499558951086</v>
      </c>
      <c r="AU96">
        <f t="shared" si="32"/>
        <v>2.5546272288003991E-3</v>
      </c>
      <c r="AV96" t="b">
        <f t="shared" si="30"/>
        <v>1</v>
      </c>
    </row>
    <row r="97" spans="44:48" x14ac:dyDescent="0.3">
      <c r="AR97">
        <v>47</v>
      </c>
      <c r="AS97">
        <f t="shared" si="33"/>
        <v>0.18983385998201635</v>
      </c>
      <c r="AT97">
        <f t="shared" si="31"/>
        <v>0.81016614001798359</v>
      </c>
      <c r="AU97">
        <f t="shared" si="32"/>
        <v>2.5211444284727325E-3</v>
      </c>
      <c r="AV97" t="b">
        <f t="shared" si="30"/>
        <v>1</v>
      </c>
    </row>
    <row r="98" spans="44:48" x14ac:dyDescent="0.3">
      <c r="AR98">
        <v>47.5</v>
      </c>
      <c r="AS98">
        <f t="shared" si="33"/>
        <v>0.18734575950396593</v>
      </c>
      <c r="AT98">
        <f t="shared" si="31"/>
        <v>0.81265424049603407</v>
      </c>
      <c r="AU98">
        <f t="shared" si="32"/>
        <v>2.4881004780504812E-3</v>
      </c>
      <c r="AV98" t="b">
        <f t="shared" si="30"/>
        <v>1</v>
      </c>
    </row>
    <row r="99" spans="44:48" x14ac:dyDescent="0.3">
      <c r="AR99">
        <v>48</v>
      </c>
      <c r="AS99">
        <f t="shared" si="33"/>
        <v>0.18489026987831797</v>
      </c>
      <c r="AT99">
        <f t="shared" si="31"/>
        <v>0.81510973012168209</v>
      </c>
      <c r="AU99">
        <f t="shared" si="32"/>
        <v>2.4554896256480108E-3</v>
      </c>
      <c r="AV99" t="b">
        <f t="shared" si="30"/>
        <v>1</v>
      </c>
    </row>
    <row r="100" spans="44:48" x14ac:dyDescent="0.3">
      <c r="AR100">
        <v>48.5</v>
      </c>
      <c r="AS100">
        <f t="shared" si="33"/>
        <v>0.18246696368355012</v>
      </c>
      <c r="AT100">
        <f t="shared" si="31"/>
        <v>0.81753303631644991</v>
      </c>
      <c r="AU100">
        <f t="shared" si="32"/>
        <v>2.4233061947678269E-3</v>
      </c>
      <c r="AV100" t="b">
        <f t="shared" si="30"/>
        <v>1</v>
      </c>
    </row>
    <row r="101" spans="44:48" x14ac:dyDescent="0.3">
      <c r="AR101">
        <v>49</v>
      </c>
      <c r="AS101">
        <f t="shared" si="33"/>
        <v>0.18007541910023675</v>
      </c>
      <c r="AT101">
        <f t="shared" si="31"/>
        <v>0.81992458089976328</v>
      </c>
      <c r="AU101">
        <f t="shared" si="32"/>
        <v>2.3915445833133653E-3</v>
      </c>
      <c r="AV101" t="b">
        <f t="shared" si="30"/>
        <v>1</v>
      </c>
    </row>
    <row r="102" spans="44:48" x14ac:dyDescent="0.3">
      <c r="AR102">
        <v>49.5</v>
      </c>
      <c r="AS102">
        <f t="shared" si="33"/>
        <v>0.17771521983762434</v>
      </c>
      <c r="AT102">
        <f t="shared" si="31"/>
        <v>0.82228478016237561</v>
      </c>
      <c r="AU102">
        <f t="shared" si="32"/>
        <v>2.360199262612328E-3</v>
      </c>
      <c r="AV102" t="b">
        <f t="shared" si="30"/>
        <v>1</v>
      </c>
    </row>
    <row r="103" spans="44:48" x14ac:dyDescent="0.3">
      <c r="AR103">
        <v>50</v>
      </c>
      <c r="AS103">
        <f t="shared" si="33"/>
        <v>0.17538595506116811</v>
      </c>
      <c r="AT103">
        <f t="shared" si="31"/>
        <v>0.82461404493883195</v>
      </c>
      <c r="AU103">
        <f t="shared" si="32"/>
        <v>2.3292647764563412E-3</v>
      </c>
      <c r="AV103" t="b">
        <f t="shared" si="30"/>
        <v>1</v>
      </c>
    </row>
    <row r="104" spans="44:48" x14ac:dyDescent="0.3">
      <c r="AR104">
        <v>50.5</v>
      </c>
      <c r="AS104">
        <f t="shared" si="33"/>
        <v>0.17308721932101948</v>
      </c>
      <c r="AT104">
        <f t="shared" si="31"/>
        <v>0.82691278067898055</v>
      </c>
      <c r="AU104">
        <f t="shared" si="32"/>
        <v>2.2987357401486053E-3</v>
      </c>
      <c r="AV104" t="b">
        <f t="shared" si="30"/>
        <v>1</v>
      </c>
    </row>
    <row r="105" spans="44:48" x14ac:dyDescent="0.3">
      <c r="AR105">
        <v>51</v>
      </c>
      <c r="AS105">
        <f t="shared" si="33"/>
        <v>0.17081861248145019</v>
      </c>
      <c r="AT105">
        <f t="shared" si="31"/>
        <v>0.82918138751854986</v>
      </c>
      <c r="AU105">
        <f t="shared" si="32"/>
        <v>2.2686068395693093E-3</v>
      </c>
      <c r="AV105" t="b">
        <f t="shared" si="30"/>
        <v>1</v>
      </c>
    </row>
    <row r="106" spans="44:48" x14ac:dyDescent="0.3">
      <c r="AR106">
        <v>51.5</v>
      </c>
      <c r="AS106">
        <f t="shared" si="33"/>
        <v>0.16857973965120129</v>
      </c>
      <c r="AT106">
        <f t="shared" si="31"/>
        <v>0.83142026034879868</v>
      </c>
      <c r="AU106">
        <f t="shared" si="32"/>
        <v>2.238872830248817E-3</v>
      </c>
      <c r="AV106" t="b">
        <f t="shared" si="30"/>
        <v>1</v>
      </c>
    </row>
    <row r="107" spans="44:48" x14ac:dyDescent="0.3">
      <c r="AR107">
        <v>52</v>
      </c>
      <c r="AS107">
        <f t="shared" si="33"/>
        <v>0.16637021111474573</v>
      </c>
      <c r="AT107">
        <f t="shared" si="31"/>
        <v>0.8336297888852543</v>
      </c>
      <c r="AU107">
        <f t="shared" si="32"/>
        <v>2.2095285364556183E-3</v>
      </c>
      <c r="AV107" t="b">
        <f t="shared" si="30"/>
        <v>1</v>
      </c>
    </row>
    <row r="108" spans="44:48" x14ac:dyDescent="0.3">
      <c r="AR108">
        <v>52.5</v>
      </c>
      <c r="AS108">
        <f t="shared" si="33"/>
        <v>0.16418964226445121</v>
      </c>
      <c r="AT108">
        <f t="shared" si="31"/>
        <v>0.83581035773554879</v>
      </c>
      <c r="AU108">
        <f t="shared" si="32"/>
        <v>2.1805688502944953E-3</v>
      </c>
      <c r="AV108" t="b">
        <f t="shared" si="30"/>
        <v>1</v>
      </c>
    </row>
    <row r="109" spans="44:48" x14ac:dyDescent="0.3">
      <c r="AR109">
        <v>53</v>
      </c>
      <c r="AS109">
        <f t="shared" si="33"/>
        <v>0.16203765353363253</v>
      </c>
      <c r="AT109">
        <f t="shared" si="31"/>
        <v>0.83796234646636747</v>
      </c>
      <c r="AU109">
        <f t="shared" si="32"/>
        <v>2.1519887308186769E-3</v>
      </c>
      <c r="AV109" t="b">
        <f t="shared" si="30"/>
        <v>1</v>
      </c>
    </row>
    <row r="110" spans="44:48" x14ac:dyDescent="0.3">
      <c r="AR110">
        <v>53.5</v>
      </c>
      <c r="AS110">
        <f t="shared" si="33"/>
        <v>0.15991387033048116</v>
      </c>
      <c r="AT110">
        <f t="shared" si="31"/>
        <v>0.84008612966951879</v>
      </c>
      <c r="AU110">
        <f t="shared" si="32"/>
        <v>2.1237832031513193E-3</v>
      </c>
      <c r="AV110" t="b">
        <f t="shared" si="30"/>
        <v>1</v>
      </c>
    </row>
    <row r="111" spans="44:48" x14ac:dyDescent="0.3">
      <c r="AR111">
        <v>54</v>
      </c>
      <c r="AS111">
        <f t="shared" si="33"/>
        <v>0.15781792297286085</v>
      </c>
      <c r="AT111">
        <f t="shared" si="31"/>
        <v>0.8421820770271391</v>
      </c>
      <c r="AU111">
        <f t="shared" si="32"/>
        <v>2.0959473576203091E-3</v>
      </c>
      <c r="AV111" t="b">
        <f t="shared" ref="AV111:AV125" si="34">AS111&lt;=AS110</f>
        <v>1</v>
      </c>
    </row>
    <row r="112" spans="44:48" x14ac:dyDescent="0.3">
      <c r="AR112">
        <v>54.5</v>
      </c>
      <c r="AS112">
        <f t="shared" si="33"/>
        <v>0.15574944662395818</v>
      </c>
      <c r="AT112">
        <f t="shared" si="31"/>
        <v>0.84425055337604182</v>
      </c>
      <c r="AU112">
        <f t="shared" si="32"/>
        <v>2.0684763489027258E-3</v>
      </c>
      <c r="AV112" t="b">
        <f t="shared" si="34"/>
        <v>1</v>
      </c>
    </row>
    <row r="113" spans="44:48" x14ac:dyDescent="0.3">
      <c r="AR113">
        <v>55</v>
      </c>
      <c r="AS113">
        <f t="shared" si="33"/>
        <v>0.15370808122877594</v>
      </c>
      <c r="AT113">
        <f t="shared" si="31"/>
        <v>0.84629191877122412</v>
      </c>
      <c r="AU113">
        <f t="shared" si="32"/>
        <v>2.041365395182293E-3</v>
      </c>
      <c r="AV113" t="b">
        <f t="shared" si="34"/>
        <v>1</v>
      </c>
    </row>
    <row r="114" spans="44:48" x14ac:dyDescent="0.3">
      <c r="AR114">
        <v>55.5</v>
      </c>
      <c r="AS114">
        <f t="shared" si="33"/>
        <v>0.15169347145145926</v>
      </c>
      <c r="AT114">
        <f t="shared" si="31"/>
        <v>0.84830652854854072</v>
      </c>
      <c r="AU114">
        <f t="shared" si="32"/>
        <v>2.0146097773166005E-3</v>
      </c>
      <c r="AV114" t="b">
        <f t="shared" si="34"/>
        <v>1</v>
      </c>
    </row>
    <row r="115" spans="44:48" x14ac:dyDescent="0.3">
      <c r="AR115">
        <v>56</v>
      </c>
      <c r="AS115">
        <f t="shared" si="33"/>
        <v>0.14970526661344322</v>
      </c>
      <c r="AT115">
        <f t="shared" si="31"/>
        <v>0.85029473338655681</v>
      </c>
      <c r="AU115">
        <f t="shared" si="32"/>
        <v>1.9882048380160944E-3</v>
      </c>
      <c r="AV115" t="b">
        <f t="shared" si="34"/>
        <v>1</v>
      </c>
    </row>
    <row r="116" spans="44:48" x14ac:dyDescent="0.3">
      <c r="AR116">
        <v>56.5</v>
      </c>
      <c r="AS116">
        <f t="shared" si="33"/>
        <v>0.14774312063241082</v>
      </c>
      <c r="AT116">
        <f t="shared" si="31"/>
        <v>0.8522568793675892</v>
      </c>
      <c r="AU116">
        <f t="shared" si="32"/>
        <v>1.9621459810323927E-3</v>
      </c>
      <c r="AV116" t="b">
        <f t="shared" si="34"/>
        <v>1</v>
      </c>
    </row>
    <row r="117" spans="44:48" x14ac:dyDescent="0.3">
      <c r="AR117">
        <v>57</v>
      </c>
      <c r="AS117">
        <f t="shared" si="33"/>
        <v>0.1458066919620514</v>
      </c>
      <c r="AT117">
        <f t="shared" si="31"/>
        <v>0.85419330803794857</v>
      </c>
      <c r="AU117">
        <f t="shared" si="32"/>
        <v>1.9364286703593692E-3</v>
      </c>
      <c r="AV117" t="b">
        <f t="shared" si="34"/>
        <v>1</v>
      </c>
    </row>
    <row r="118" spans="44:48" x14ac:dyDescent="0.3">
      <c r="AR118">
        <v>57.5</v>
      </c>
      <c r="AS118">
        <f t="shared" si="33"/>
        <v>0.14389564353260847</v>
      </c>
      <c r="AT118">
        <f t="shared" si="31"/>
        <v>0.85610435646739158</v>
      </c>
      <c r="AU118">
        <f t="shared" si="32"/>
        <v>1.9110484294430075E-3</v>
      </c>
      <c r="AV118" t="b">
        <f t="shared" si="34"/>
        <v>1</v>
      </c>
    </row>
    <row r="119" spans="44:48" x14ac:dyDescent="0.3">
      <c r="AR119">
        <v>58</v>
      </c>
      <c r="AS119">
        <f t="shared" si="33"/>
        <v>0.14200964269220634</v>
      </c>
      <c r="AT119">
        <f t="shared" si="31"/>
        <v>0.85799035730779361</v>
      </c>
      <c r="AU119">
        <f t="shared" si="32"/>
        <v>1.8860008404020245E-3</v>
      </c>
      <c r="AV119" t="b">
        <f t="shared" si="34"/>
        <v>1</v>
      </c>
    </row>
    <row r="120" spans="44:48" x14ac:dyDescent="0.3">
      <c r="AR120">
        <v>58.5</v>
      </c>
      <c r="AS120">
        <f t="shared" si="33"/>
        <v>0.14014836114894674</v>
      </c>
      <c r="AT120">
        <f t="shared" si="31"/>
        <v>0.85985163885105331</v>
      </c>
      <c r="AU120">
        <f t="shared" si="32"/>
        <v>1.8612815432597074E-3</v>
      </c>
      <c r="AV120" t="b">
        <f t="shared" si="34"/>
        <v>1</v>
      </c>
    </row>
    <row r="121" spans="44:48" x14ac:dyDescent="0.3">
      <c r="AR121">
        <v>59</v>
      </c>
      <c r="AS121">
        <f t="shared" si="33"/>
        <v>0.13831147491376347</v>
      </c>
      <c r="AT121">
        <f t="shared" si="31"/>
        <v>0.8616885250862365</v>
      </c>
      <c r="AU121">
        <f t="shared" si="32"/>
        <v>1.8368862351831883E-3</v>
      </c>
      <c r="AV121" t="b">
        <f t="shared" si="34"/>
        <v>1</v>
      </c>
    </row>
    <row r="122" spans="44:48" x14ac:dyDescent="0.3">
      <c r="AR122">
        <v>59.5</v>
      </c>
      <c r="AS122">
        <f t="shared" si="33"/>
        <v>0.13649866424402626</v>
      </c>
      <c r="AT122">
        <f t="shared" si="31"/>
        <v>0.86350133575597376</v>
      </c>
      <c r="AU122">
        <f t="shared" si="32"/>
        <v>1.8128106697372637E-3</v>
      </c>
      <c r="AV122" t="b">
        <f t="shared" si="34"/>
        <v>1</v>
      </c>
    </row>
    <row r="123" spans="44:48" x14ac:dyDescent="0.3">
      <c r="AR123">
        <v>60</v>
      </c>
      <c r="AS123">
        <f t="shared" si="33"/>
        <v>0.13470961358788419</v>
      </c>
      <c r="AT123">
        <f t="shared" si="31"/>
        <v>0.86529038641211575</v>
      </c>
      <c r="AU123">
        <f t="shared" si="32"/>
        <v>1.7890506561419883E-3</v>
      </c>
      <c r="AV123" t="b">
        <f t="shared" si="34"/>
        <v>1</v>
      </c>
    </row>
    <row r="124" spans="44:48" x14ac:dyDescent="0.3">
      <c r="AR124">
        <v>60.5</v>
      </c>
      <c r="AS124">
        <f t="shared" si="33"/>
        <v>0.13294401152933807</v>
      </c>
      <c r="AT124">
        <f t="shared" si="31"/>
        <v>0.8670559884706619</v>
      </c>
      <c r="AU124">
        <f t="shared" si="32"/>
        <v>1.7656020585461452E-3</v>
      </c>
      <c r="AV124" t="b">
        <f t="shared" si="34"/>
        <v>1</v>
      </c>
    </row>
    <row r="125" spans="44:48" x14ac:dyDescent="0.3">
      <c r="AR125">
        <v>61</v>
      </c>
      <c r="AS125">
        <f t="shared" si="33"/>
        <v>0.13120155073403303</v>
      </c>
      <c r="AT125">
        <f t="shared" si="31"/>
        <v>0.86879844926596694</v>
      </c>
      <c r="AU125">
        <f t="shared" si="32"/>
        <v>1.7424607953050453E-3</v>
      </c>
      <c r="AV125" t="b">
        <f t="shared" si="34"/>
        <v>1</v>
      </c>
    </row>
    <row r="126" spans="44:48" x14ac:dyDescent="0.3">
      <c r="AR126">
        <v>61.5</v>
      </c>
      <c r="AS126">
        <f t="shared" si="33"/>
        <v>0.12948192789576154</v>
      </c>
      <c r="AT126">
        <f t="shared" si="31"/>
        <v>0.87051807210423848</v>
      </c>
      <c r="AU126">
        <f t="shared" si="32"/>
        <v>1.7196228382715395E-3</v>
      </c>
      <c r="AV126" t="b">
        <f t="shared" ref="AV126:AV189" si="35">AS126&lt;=AS125</f>
        <v>1</v>
      </c>
    </row>
    <row r="127" spans="44:48" x14ac:dyDescent="0.3">
      <c r="AR127">
        <v>62</v>
      </c>
      <c r="AS127">
        <f t="shared" si="33"/>
        <v>0.12778484368366758</v>
      </c>
      <c r="AT127">
        <f t="shared" si="31"/>
        <v>0.8722151563163324</v>
      </c>
      <c r="AU127">
        <f t="shared" si="32"/>
        <v>1.6970842120939134E-3</v>
      </c>
      <c r="AV127" t="b">
        <f t="shared" si="35"/>
        <v>1</v>
      </c>
    </row>
    <row r="128" spans="44:48" x14ac:dyDescent="0.3">
      <c r="AR128">
        <v>62.5</v>
      </c>
      <c r="AS128">
        <f t="shared" si="33"/>
        <v>0.12611000269014272</v>
      </c>
      <c r="AT128">
        <f t="shared" si="31"/>
        <v>0.87388999730985728</v>
      </c>
      <c r="AU128">
        <f t="shared" si="32"/>
        <v>1.6748409935248842E-3</v>
      </c>
      <c r="AV128" t="b">
        <f t="shared" si="35"/>
        <v>1</v>
      </c>
    </row>
    <row r="129" spans="44:48" x14ac:dyDescent="0.3">
      <c r="AR129">
        <v>63</v>
      </c>
      <c r="AS129">
        <f t="shared" si="33"/>
        <v>0.1244571133794054</v>
      </c>
      <c r="AT129">
        <f t="shared" si="31"/>
        <v>0.87554288662059454</v>
      </c>
      <c r="AU129">
        <f t="shared" si="32"/>
        <v>1.65288931073726E-3</v>
      </c>
      <c r="AV129" t="b">
        <f t="shared" si="35"/>
        <v>1</v>
      </c>
    </row>
    <row r="130" spans="44:48" x14ac:dyDescent="0.3">
      <c r="AR130">
        <v>63.5</v>
      </c>
      <c r="AS130">
        <f t="shared" si="33"/>
        <v>0.12282588803675361</v>
      </c>
      <c r="AT130">
        <f t="shared" si="31"/>
        <v>0.87717411196324635</v>
      </c>
      <c r="AU130">
        <f t="shared" si="32"/>
        <v>1.6312253426518097E-3</v>
      </c>
      <c r="AV130" t="b">
        <f t="shared" si="35"/>
        <v>1</v>
      </c>
    </row>
    <row r="131" spans="44:48" x14ac:dyDescent="0.3">
      <c r="AR131">
        <v>64</v>
      </c>
      <c r="AS131">
        <f t="shared" si="33"/>
        <v>0.12121604271848337</v>
      </c>
      <c r="AT131">
        <f t="shared" si="31"/>
        <v>0.87878395728151659</v>
      </c>
      <c r="AU131">
        <f t="shared" si="32"/>
        <v>1.6098453182702421E-3</v>
      </c>
      <c r="AV131" t="b">
        <f t="shared" si="35"/>
        <v>1</v>
      </c>
    </row>
    <row r="132" spans="44:48" x14ac:dyDescent="0.3">
      <c r="AR132">
        <v>64.5</v>
      </c>
      <c r="AS132">
        <f t="shared" si="33"/>
        <v>0.11962729720246312</v>
      </c>
      <c r="AT132">
        <f t="shared" ref="AT132:AT195" si="36">1-AS132</f>
        <v>0.88037270279753688</v>
      </c>
      <c r="AU132">
        <f t="shared" si="32"/>
        <v>1.5887455160202846E-3</v>
      </c>
      <c r="AV132" t="b">
        <f t="shared" si="35"/>
        <v>1</v>
      </c>
    </row>
    <row r="133" spans="44:48" x14ac:dyDescent="0.3">
      <c r="AR133">
        <v>65</v>
      </c>
      <c r="AS133">
        <f t="shared" si="33"/>
        <v>0.11805937493935617</v>
      </c>
      <c r="AT133">
        <f t="shared" si="36"/>
        <v>0.88194062506064386</v>
      </c>
      <c r="AU133">
        <f t="shared" ref="AU133:AU196" si="37">AT133-AT132</f>
        <v>1.56792226310698E-3</v>
      </c>
      <c r="AV133" t="b">
        <f t="shared" si="35"/>
        <v>1</v>
      </c>
    </row>
    <row r="134" spans="44:48" x14ac:dyDescent="0.3">
      <c r="AR134">
        <v>65.5</v>
      </c>
      <c r="AS134">
        <f t="shared" si="33"/>
        <v>0.11651200300448232</v>
      </c>
      <c r="AT134">
        <f t="shared" si="36"/>
        <v>0.88348799699551772</v>
      </c>
      <c r="AU134">
        <f t="shared" si="37"/>
        <v>1.5473719348738646E-3</v>
      </c>
      <c r="AV134" t="b">
        <f t="shared" si="35"/>
        <v>1</v>
      </c>
    </row>
    <row r="135" spans="44:48" x14ac:dyDescent="0.3">
      <c r="AR135">
        <v>66</v>
      </c>
      <c r="AS135">
        <f t="shared" si="33"/>
        <v>0.11498491205031044</v>
      </c>
      <c r="AT135">
        <f t="shared" si="36"/>
        <v>0.88501508794968953</v>
      </c>
      <c r="AU135">
        <f t="shared" si="37"/>
        <v>1.5270909541718058E-3</v>
      </c>
      <c r="AV135" t="b">
        <f t="shared" si="35"/>
        <v>1</v>
      </c>
    </row>
    <row r="136" spans="44:48" x14ac:dyDescent="0.3">
      <c r="AR136">
        <v>66.5</v>
      </c>
      <c r="AS136">
        <f t="shared" si="33"/>
        <v>0.11347783625957392</v>
      </c>
      <c r="AT136">
        <f t="shared" si="36"/>
        <v>0.88652216374042614</v>
      </c>
      <c r="AU136">
        <f t="shared" si="37"/>
        <v>1.5070757907366117E-3</v>
      </c>
      <c r="AV136" t="b">
        <f t="shared" si="35"/>
        <v>1</v>
      </c>
    </row>
    <row r="137" spans="44:48" x14ac:dyDescent="0.3">
      <c r="AR137">
        <v>67</v>
      </c>
      <c r="AS137">
        <f t="shared" si="33"/>
        <v>0.11199051329900028</v>
      </c>
      <c r="AT137">
        <f t="shared" si="36"/>
        <v>0.88800948670099977</v>
      </c>
      <c r="AU137">
        <f t="shared" si="37"/>
        <v>1.4873229605736338E-3</v>
      </c>
      <c r="AV137" t="b">
        <f t="shared" si="35"/>
        <v>1</v>
      </c>
    </row>
    <row r="138" spans="44:48" x14ac:dyDescent="0.3">
      <c r="AR138">
        <v>67.5</v>
      </c>
      <c r="AS138">
        <f t="shared" si="33"/>
        <v>0.1105226842736475</v>
      </c>
      <c r="AT138">
        <f t="shared" si="36"/>
        <v>0.88947731572635247</v>
      </c>
      <c r="AU138">
        <f t="shared" si="37"/>
        <v>1.467829025352696E-3</v>
      </c>
      <c r="AV138" t="b">
        <f t="shared" si="35"/>
        <v>1</v>
      </c>
    </row>
    <row r="139" spans="44:48" x14ac:dyDescent="0.3">
      <c r="AR139">
        <v>68</v>
      </c>
      <c r="AS139">
        <f t="shared" si="33"/>
        <v>0.10907409368183879</v>
      </c>
      <c r="AT139">
        <f t="shared" si="36"/>
        <v>0.89092590631816115</v>
      </c>
      <c r="AU139">
        <f t="shared" si="37"/>
        <v>1.448590591808685E-3</v>
      </c>
      <c r="AV139" t="b">
        <f t="shared" si="35"/>
        <v>1</v>
      </c>
    </row>
    <row r="140" spans="44:48" x14ac:dyDescent="0.3">
      <c r="AR140">
        <v>68.5</v>
      </c>
      <c r="AS140">
        <f t="shared" si="33"/>
        <v>0.10764448937068792</v>
      </c>
      <c r="AT140">
        <f t="shared" si="36"/>
        <v>0.89235551062931207</v>
      </c>
      <c r="AU140">
        <f t="shared" si="37"/>
        <v>1.4296043111509116E-3</v>
      </c>
      <c r="AV140" t="b">
        <f t="shared" si="35"/>
        <v>1</v>
      </c>
    </row>
    <row r="141" spans="44:48" x14ac:dyDescent="0.3">
      <c r="AR141">
        <v>69</v>
      </c>
      <c r="AS141">
        <f t="shared" si="33"/>
        <v>0.10623362249220755</v>
      </c>
      <c r="AT141">
        <f t="shared" si="36"/>
        <v>0.89376637750779242</v>
      </c>
      <c r="AU141">
        <f t="shared" si="37"/>
        <v>1.4108668784803546E-3</v>
      </c>
      <c r="AV141" t="b">
        <f t="shared" si="35"/>
        <v>1</v>
      </c>
    </row>
    <row r="142" spans="44:48" x14ac:dyDescent="0.3">
      <c r="AR142">
        <v>69.5</v>
      </c>
      <c r="AS142">
        <f t="shared" si="33"/>
        <v>0.10484124745999292</v>
      </c>
      <c r="AT142">
        <f t="shared" si="36"/>
        <v>0.8951587525400071</v>
      </c>
      <c r="AU142">
        <f t="shared" si="37"/>
        <v>1.3923750322146766E-3</v>
      </c>
      <c r="AV142" t="b">
        <f t="shared" si="35"/>
        <v>1</v>
      </c>
    </row>
    <row r="143" spans="44:48" x14ac:dyDescent="0.3">
      <c r="AR143">
        <v>70</v>
      </c>
      <c r="AS143">
        <f t="shared" si="33"/>
        <v>0.10346712190647299</v>
      </c>
      <c r="AT143">
        <f t="shared" si="36"/>
        <v>0.896532878093527</v>
      </c>
      <c r="AU143">
        <f t="shared" si="37"/>
        <v>1.3741255535199004E-3</v>
      </c>
      <c r="AV143" t="b">
        <f t="shared" si="35"/>
        <v>1</v>
      </c>
    </row>
    <row r="144" spans="44:48" x14ac:dyDescent="0.3">
      <c r="AR144">
        <v>70.5</v>
      </c>
      <c r="AS144">
        <f t="shared" si="33"/>
        <v>0.10211100664072226</v>
      </c>
      <c r="AT144">
        <f t="shared" si="36"/>
        <v>0.89788899335927774</v>
      </c>
      <c r="AU144">
        <f t="shared" si="37"/>
        <v>1.3561152657507458E-3</v>
      </c>
      <c r="AV144" t="b">
        <f t="shared" si="35"/>
        <v>1</v>
      </c>
    </row>
    <row r="145" spans="44:48" x14ac:dyDescent="0.3">
      <c r="AR145">
        <v>71</v>
      </c>
      <c r="AS145">
        <f t="shared" si="33"/>
        <v>0.10077266560682527</v>
      </c>
      <c r="AT145">
        <f t="shared" si="36"/>
        <v>0.8992273343931747</v>
      </c>
      <c r="AU145">
        <f t="shared" si="37"/>
        <v>1.3383410338969615E-3</v>
      </c>
      <c r="AV145" t="b">
        <f t="shared" si="35"/>
        <v>1</v>
      </c>
    </row>
    <row r="146" spans="44:48" x14ac:dyDescent="0.3">
      <c r="AR146">
        <v>71.5</v>
      </c>
      <c r="AS146">
        <f t="shared" si="33"/>
        <v>9.9451865842786785E-2</v>
      </c>
      <c r="AT146">
        <f t="shared" si="36"/>
        <v>0.90054813415721324</v>
      </c>
      <c r="AU146">
        <f t="shared" si="37"/>
        <v>1.3207997640385383E-3</v>
      </c>
      <c r="AV146" t="b">
        <f t="shared" si="35"/>
        <v>1</v>
      </c>
    </row>
    <row r="147" spans="44:48" x14ac:dyDescent="0.3">
      <c r="AR147">
        <v>72</v>
      </c>
      <c r="AS147">
        <f t="shared" si="33"/>
        <v>9.8148377439980825E-2</v>
      </c>
      <c r="AT147">
        <f t="shared" si="36"/>
        <v>0.90185162256001916</v>
      </c>
      <c r="AU147">
        <f t="shared" si="37"/>
        <v>1.303488402805919E-3</v>
      </c>
      <c r="AV147" t="b">
        <f t="shared" si="35"/>
        <v>1</v>
      </c>
    </row>
    <row r="148" spans="44:48" x14ac:dyDescent="0.3">
      <c r="AR148">
        <v>72.5</v>
      </c>
      <c r="AS148">
        <f t="shared" si="33"/>
        <v>9.686197350313086E-2</v>
      </c>
      <c r="AT148">
        <f t="shared" si="36"/>
        <v>0.90313802649686914</v>
      </c>
      <c r="AU148">
        <f t="shared" si="37"/>
        <v>1.286403936849978E-3</v>
      </c>
      <c r="AV148" t="b">
        <f t="shared" si="35"/>
        <v>1</v>
      </c>
    </row>
    <row r="149" spans="44:48" x14ac:dyDescent="0.3">
      <c r="AR149">
        <v>73</v>
      </c>
      <c r="AS149">
        <f t="shared" ref="AS149:AS203" si="38">$AS$19*EXP(-$AN$11*(AR149-$AJ$11))</f>
        <v>9.5592430110814641E-2</v>
      </c>
      <c r="AT149">
        <f t="shared" si="36"/>
        <v>0.90440756988918536</v>
      </c>
      <c r="AU149">
        <f t="shared" si="37"/>
        <v>1.2695433923162192E-3</v>
      </c>
      <c r="AV149" t="b">
        <f t="shared" si="35"/>
        <v>1</v>
      </c>
    </row>
    <row r="150" spans="44:48" x14ac:dyDescent="0.3">
      <c r="AR150">
        <v>73.5</v>
      </c>
      <c r="AS150">
        <f t="shared" si="38"/>
        <v>9.4339526276486826E-2</v>
      </c>
      <c r="AT150">
        <f t="shared" si="36"/>
        <v>0.90566047372351322</v>
      </c>
      <c r="AU150">
        <f t="shared" si="37"/>
        <v>1.2529038343278565E-3</v>
      </c>
      <c r="AV150" t="b">
        <f t="shared" si="35"/>
        <v>1</v>
      </c>
    </row>
    <row r="151" spans="44:48" x14ac:dyDescent="0.3">
      <c r="AR151">
        <v>74</v>
      </c>
      <c r="AS151">
        <f t="shared" si="38"/>
        <v>9.3103043910012187E-2</v>
      </c>
      <c r="AT151">
        <f t="shared" si="36"/>
        <v>0.90689695608998777</v>
      </c>
      <c r="AU151">
        <f t="shared" si="37"/>
        <v>1.2364823664745561E-3</v>
      </c>
      <c r="AV151" t="b">
        <f t="shared" si="35"/>
        <v>1</v>
      </c>
    </row>
    <row r="152" spans="44:48" x14ac:dyDescent="0.3">
      <c r="AR152">
        <v>74.5</v>
      </c>
      <c r="AS152">
        <f t="shared" si="38"/>
        <v>9.1882767779703306E-2</v>
      </c>
      <c r="AT152">
        <f t="shared" si="36"/>
        <v>0.90811723222029672</v>
      </c>
      <c r="AU152">
        <f t="shared" si="37"/>
        <v>1.2202761303089504E-3</v>
      </c>
      <c r="AV152" t="b">
        <f t="shared" si="35"/>
        <v>1</v>
      </c>
    </row>
    <row r="153" spans="44:48" x14ac:dyDescent="0.3">
      <c r="AR153">
        <v>75</v>
      </c>
      <c r="AS153">
        <f t="shared" si="38"/>
        <v>9.067848547485563E-2</v>
      </c>
      <c r="AT153">
        <f t="shared" si="36"/>
        <v>0.90932151452514431</v>
      </c>
      <c r="AU153">
        <f t="shared" si="37"/>
        <v>1.2042823048475926E-3</v>
      </c>
      <c r="AV153" t="b">
        <f t="shared" si="35"/>
        <v>1</v>
      </c>
    </row>
    <row r="154" spans="44:48" x14ac:dyDescent="0.3">
      <c r="AR154">
        <v>75.5</v>
      </c>
      <c r="AS154">
        <f t="shared" si="38"/>
        <v>8.9489987368773533E-2</v>
      </c>
      <c r="AT154">
        <f t="shared" si="36"/>
        <v>0.91051001263122644</v>
      </c>
      <c r="AU154">
        <f t="shared" si="37"/>
        <v>1.1884981060821254E-3</v>
      </c>
      <c r="AV154" t="b">
        <f t="shared" si="35"/>
        <v>1</v>
      </c>
    </row>
    <row r="155" spans="44:48" x14ac:dyDescent="0.3">
      <c r="AR155">
        <v>76</v>
      </c>
      <c r="AS155">
        <f t="shared" si="38"/>
        <v>8.8317066582281237E-2</v>
      </c>
      <c r="AT155">
        <f t="shared" si="36"/>
        <v>0.91168293341771878</v>
      </c>
      <c r="AU155">
        <f t="shared" si="37"/>
        <v>1.1729207864923374E-3</v>
      </c>
      <c r="AV155" t="b">
        <f t="shared" si="35"/>
        <v>1</v>
      </c>
    </row>
    <row r="156" spans="44:48" x14ac:dyDescent="0.3">
      <c r="AR156">
        <v>76.5</v>
      </c>
      <c r="AS156">
        <f t="shared" si="38"/>
        <v>8.7159518947711706E-2</v>
      </c>
      <c r="AT156">
        <f t="shared" si="36"/>
        <v>0.91284048105228832</v>
      </c>
      <c r="AU156">
        <f t="shared" si="37"/>
        <v>1.1575476345695446E-3</v>
      </c>
      <c r="AV156" t="b">
        <f t="shared" si="35"/>
        <v>1</v>
      </c>
    </row>
    <row r="157" spans="44:48" x14ac:dyDescent="0.3">
      <c r="AR157">
        <v>77</v>
      </c>
      <c r="AS157">
        <f t="shared" si="38"/>
        <v>8.6017142973367655E-2</v>
      </c>
      <c r="AT157">
        <f t="shared" si="36"/>
        <v>0.9139828570266324</v>
      </c>
      <c r="AU157">
        <f t="shared" si="37"/>
        <v>1.1423759743440787E-3</v>
      </c>
      <c r="AV157" t="b">
        <f t="shared" si="35"/>
        <v>1</v>
      </c>
    </row>
    <row r="158" spans="44:48" x14ac:dyDescent="0.3">
      <c r="AR158">
        <v>77.5</v>
      </c>
      <c r="AS158">
        <f t="shared" si="38"/>
        <v>8.4889739808448383E-2</v>
      </c>
      <c r="AT158">
        <f t="shared" si="36"/>
        <v>0.91511026019155162</v>
      </c>
      <c r="AU158">
        <f t="shared" si="37"/>
        <v>1.1274031649192162E-3</v>
      </c>
      <c r="AV158" t="b">
        <f t="shared" si="35"/>
        <v>1</v>
      </c>
    </row>
    <row r="159" spans="44:48" x14ac:dyDescent="0.3">
      <c r="AR159">
        <v>78</v>
      </c>
      <c r="AS159">
        <f t="shared" si="38"/>
        <v>8.3777113208436199E-2</v>
      </c>
      <c r="AT159">
        <f t="shared" si="36"/>
        <v>0.91622288679156383</v>
      </c>
      <c r="AU159">
        <f t="shared" si="37"/>
        <v>1.112626600012212E-3</v>
      </c>
      <c r="AV159" t="b">
        <f t="shared" si="35"/>
        <v>1</v>
      </c>
    </row>
    <row r="160" spans="44:48" x14ac:dyDescent="0.3">
      <c r="AR160">
        <v>78.5</v>
      </c>
      <c r="AS160">
        <f t="shared" si="38"/>
        <v>8.2679069500936689E-2</v>
      </c>
      <c r="AT160">
        <f t="shared" si="36"/>
        <v>0.91732093049906327</v>
      </c>
      <c r="AU160">
        <f t="shared" si="37"/>
        <v>1.0980437074994409E-3</v>
      </c>
      <c r="AV160" t="b">
        <f t="shared" si="35"/>
        <v>1</v>
      </c>
    </row>
    <row r="161" spans="44:48" x14ac:dyDescent="0.3">
      <c r="AR161">
        <v>79</v>
      </c>
      <c r="AS161">
        <f t="shared" si="38"/>
        <v>8.1595417551966504E-2</v>
      </c>
      <c r="AT161">
        <f t="shared" si="36"/>
        <v>0.91840458244803347</v>
      </c>
      <c r="AU161">
        <f t="shared" si="37"/>
        <v>1.083651948970199E-3</v>
      </c>
      <c r="AV161" t="b">
        <f t="shared" si="35"/>
        <v>1</v>
      </c>
    </row>
    <row r="162" spans="44:48" x14ac:dyDescent="0.3">
      <c r="AR162">
        <v>79.5</v>
      </c>
      <c r="AS162">
        <f t="shared" si="38"/>
        <v>8.052596873268314E-2</v>
      </c>
      <c r="AT162">
        <f t="shared" si="36"/>
        <v>0.91947403126731686</v>
      </c>
      <c r="AU162">
        <f t="shared" si="37"/>
        <v>1.0694488192833917E-3</v>
      </c>
      <c r="AV162" t="b">
        <f t="shared" si="35"/>
        <v>1</v>
      </c>
    </row>
    <row r="163" spans="44:48" x14ac:dyDescent="0.3">
      <c r="AR163">
        <v>80</v>
      </c>
      <c r="AS163">
        <f t="shared" si="38"/>
        <v>7.9470536886550702E-2</v>
      </c>
      <c r="AT163">
        <f t="shared" si="36"/>
        <v>0.9205294631134493</v>
      </c>
      <c r="AU163">
        <f t="shared" si="37"/>
        <v>1.0554318461324375E-3</v>
      </c>
      <c r="AV163" t="b">
        <f t="shared" si="35"/>
        <v>1</v>
      </c>
    </row>
    <row r="164" spans="44:48" x14ac:dyDescent="0.3">
      <c r="AR164">
        <v>80.5</v>
      </c>
      <c r="AS164">
        <f t="shared" si="38"/>
        <v>7.842893829693616E-2</v>
      </c>
      <c r="AT164">
        <f t="shared" si="36"/>
        <v>0.9215710617030638</v>
      </c>
      <c r="AU164">
        <f t="shared" si="37"/>
        <v>1.0415985896145008E-3</v>
      </c>
      <c r="AV164" t="b">
        <f t="shared" si="35"/>
        <v>1</v>
      </c>
    </row>
    <row r="165" spans="44:48" x14ac:dyDescent="0.3">
      <c r="AR165">
        <v>81</v>
      </c>
      <c r="AS165">
        <f t="shared" si="38"/>
        <v>7.7400991655130091E-2</v>
      </c>
      <c r="AT165">
        <f t="shared" si="36"/>
        <v>0.92259900834486985</v>
      </c>
      <c r="AU165">
        <f t="shared" si="37"/>
        <v>1.0279466418060546E-3</v>
      </c>
      <c r="AV165" t="b">
        <f t="shared" si="35"/>
        <v>1</v>
      </c>
    </row>
    <row r="166" spans="44:48" x14ac:dyDescent="0.3">
      <c r="AR166">
        <v>81.5</v>
      </c>
      <c r="AS166">
        <f t="shared" si="38"/>
        <v>7.6386518028786793E-2</v>
      </c>
      <c r="AT166">
        <f t="shared" si="36"/>
        <v>0.92361348197121318</v>
      </c>
      <c r="AU166">
        <f t="shared" si="37"/>
        <v>1.0144736263433263E-3</v>
      </c>
      <c r="AV166" t="b">
        <f t="shared" si="35"/>
        <v>1</v>
      </c>
    </row>
    <row r="167" spans="44:48" x14ac:dyDescent="0.3">
      <c r="AR167">
        <v>82</v>
      </c>
      <c r="AS167">
        <f t="shared" si="38"/>
        <v>7.5385340830777761E-2</v>
      </c>
      <c r="AT167">
        <f t="shared" si="36"/>
        <v>0.92461465916922225</v>
      </c>
      <c r="AU167">
        <f t="shared" si="37"/>
        <v>1.0011771980090733E-3</v>
      </c>
      <c r="AV167" t="b">
        <f t="shared" si="35"/>
        <v>1</v>
      </c>
    </row>
    <row r="168" spans="44:48" x14ac:dyDescent="0.3">
      <c r="AR168">
        <v>82.5</v>
      </c>
      <c r="AS168">
        <f t="shared" si="38"/>
        <v>7.4397285788453782E-2</v>
      </c>
      <c r="AT168">
        <f t="shared" si="36"/>
        <v>0.92560271421154616</v>
      </c>
      <c r="AU168">
        <f t="shared" si="37"/>
        <v>9.8805504232390984E-4</v>
      </c>
      <c r="AV168" t="b">
        <f t="shared" si="35"/>
        <v>1</v>
      </c>
    </row>
    <row r="169" spans="44:48" x14ac:dyDescent="0.3">
      <c r="AR169">
        <v>83</v>
      </c>
      <c r="AS169">
        <f t="shared" si="38"/>
        <v>7.3422180913309584E-2</v>
      </c>
      <c r="AT169">
        <f t="shared" si="36"/>
        <v>0.92657781908669046</v>
      </c>
      <c r="AU169">
        <f t="shared" si="37"/>
        <v>9.7510487514429478E-4</v>
      </c>
      <c r="AV169" t="b">
        <f t="shared" si="35"/>
        <v>1</v>
      </c>
    </row>
    <row r="170" spans="44:48" x14ac:dyDescent="0.3">
      <c r="AR170">
        <v>83.5</v>
      </c>
      <c r="AS170">
        <f t="shared" si="38"/>
        <v>7.2459856471046136E-2</v>
      </c>
      <c r="AT170">
        <f t="shared" si="36"/>
        <v>0.92754014352895386</v>
      </c>
      <c r="AU170">
        <f t="shared" si="37"/>
        <v>9.6232444226340697E-4</v>
      </c>
      <c r="AV170" t="b">
        <f t="shared" si="35"/>
        <v>1</v>
      </c>
    </row>
    <row r="171" spans="44:48" x14ac:dyDescent="0.3">
      <c r="AR171">
        <v>84</v>
      </c>
      <c r="AS171">
        <f t="shared" si="38"/>
        <v>7.151014495202547E-2</v>
      </c>
      <c r="AT171">
        <f t="shared" si="36"/>
        <v>0.92848985504797454</v>
      </c>
      <c r="AU171">
        <f t="shared" si="37"/>
        <v>9.4971151902067952E-4</v>
      </c>
      <c r="AV171" t="b">
        <f t="shared" si="35"/>
        <v>1</v>
      </c>
    </row>
    <row r="172" spans="44:48" x14ac:dyDescent="0.3">
      <c r="AR172">
        <v>84.5</v>
      </c>
      <c r="AS172">
        <f t="shared" si="38"/>
        <v>7.0572881042112637E-2</v>
      </c>
      <c r="AT172">
        <f t="shared" si="36"/>
        <v>0.92942711895788732</v>
      </c>
      <c r="AU172">
        <f t="shared" si="37"/>
        <v>9.3726390991277775E-4</v>
      </c>
      <c r="AV172" t="b">
        <f t="shared" si="35"/>
        <v>1</v>
      </c>
    </row>
    <row r="173" spans="44:48" x14ac:dyDescent="0.3">
      <c r="AR173">
        <v>85</v>
      </c>
      <c r="AS173">
        <f t="shared" si="38"/>
        <v>6.9647901593899803E-2</v>
      </c>
      <c r="AT173">
        <f t="shared" si="36"/>
        <v>0.93035209840610023</v>
      </c>
      <c r="AU173">
        <f t="shared" si="37"/>
        <v>9.2497944821290368E-4</v>
      </c>
      <c r="AV173" t="b">
        <f t="shared" si="35"/>
        <v>1</v>
      </c>
    </row>
    <row r="174" spans="44:48" x14ac:dyDescent="0.3">
      <c r="AR174">
        <v>85.5</v>
      </c>
      <c r="AS174">
        <f t="shared" si="38"/>
        <v>6.8735045598307606E-2</v>
      </c>
      <c r="AT174">
        <f t="shared" si="36"/>
        <v>0.93126495440169244</v>
      </c>
      <c r="AU174">
        <f t="shared" si="37"/>
        <v>9.1285599559220998E-4</v>
      </c>
      <c r="AV174" t="b">
        <f t="shared" si="35"/>
        <v>1</v>
      </c>
    </row>
    <row r="175" spans="44:48" x14ac:dyDescent="0.3">
      <c r="AR175">
        <v>86</v>
      </c>
      <c r="AS175">
        <f t="shared" si="38"/>
        <v>6.7834154156558663E-2</v>
      </c>
      <c r="AT175">
        <f t="shared" si="36"/>
        <v>0.93216584584344131</v>
      </c>
      <c r="AU175">
        <f t="shared" si="37"/>
        <v>9.0089144174887448E-4</v>
      </c>
      <c r="AV175" t="b">
        <f t="shared" si="35"/>
        <v>1</v>
      </c>
    </row>
    <row r="176" spans="44:48" x14ac:dyDescent="0.3">
      <c r="AR176">
        <v>86.5</v>
      </c>
      <c r="AS176">
        <f t="shared" si="38"/>
        <v>6.6945070452518352E-2</v>
      </c>
      <c r="AT176">
        <f t="shared" si="36"/>
        <v>0.9330549295474817</v>
      </c>
      <c r="AU176">
        <f t="shared" si="37"/>
        <v>8.8908370404039427E-4</v>
      </c>
      <c r="AV176" t="b">
        <f t="shared" si="35"/>
        <v>1</v>
      </c>
    </row>
    <row r="177" spans="44:48" x14ac:dyDescent="0.3">
      <c r="AR177">
        <v>87</v>
      </c>
      <c r="AS177">
        <f t="shared" si="38"/>
        <v>6.6067639725398281E-2</v>
      </c>
      <c r="AT177">
        <f t="shared" si="36"/>
        <v>0.93393236027460169</v>
      </c>
      <c r="AU177">
        <f t="shared" si="37"/>
        <v>8.7743072711998771E-4</v>
      </c>
      <c r="AV177" t="b">
        <f t="shared" si="35"/>
        <v>1</v>
      </c>
    </row>
    <row r="178" spans="44:48" x14ac:dyDescent="0.3">
      <c r="AR178">
        <v>87.5</v>
      </c>
      <c r="AS178">
        <f t="shared" si="38"/>
        <v>6.5201709242817332E-2</v>
      </c>
      <c r="AT178">
        <f t="shared" si="36"/>
        <v>0.93479829075718268</v>
      </c>
      <c r="AU178">
        <f t="shared" si="37"/>
        <v>8.6593048258098992E-4</v>
      </c>
      <c r="AV178" t="b">
        <f t="shared" si="35"/>
        <v>1</v>
      </c>
    </row>
    <row r="179" spans="44:48" x14ac:dyDescent="0.3">
      <c r="AR179">
        <v>88</v>
      </c>
      <c r="AS179">
        <f t="shared" si="38"/>
        <v>6.4347128274216014E-2</v>
      </c>
      <c r="AT179">
        <f t="shared" si="36"/>
        <v>0.93565287172578393</v>
      </c>
      <c r="AU179">
        <f t="shared" si="37"/>
        <v>8.5458096860124844E-4</v>
      </c>
      <c r="AV179" t="b">
        <f t="shared" si="35"/>
        <v>1</v>
      </c>
    </row>
    <row r="180" spans="44:48" x14ac:dyDescent="0.3">
      <c r="AR180">
        <v>88.5</v>
      </c>
      <c r="AS180">
        <f t="shared" si="38"/>
        <v>6.3503748064618976E-2</v>
      </c>
      <c r="AT180">
        <f t="shared" si="36"/>
        <v>0.936496251935381</v>
      </c>
      <c r="AU180">
        <f t="shared" si="37"/>
        <v>8.4338020959706661E-4</v>
      </c>
      <c r="AV180" t="b">
        <f t="shared" si="35"/>
        <v>1</v>
      </c>
    </row>
    <row r="181" spans="44:48" x14ac:dyDescent="0.3">
      <c r="AR181">
        <v>89</v>
      </c>
      <c r="AS181">
        <f t="shared" si="38"/>
        <v>6.2671421808741634E-2</v>
      </c>
      <c r="AT181">
        <f t="shared" si="36"/>
        <v>0.93732857819125837</v>
      </c>
      <c r="AU181">
        <f t="shared" si="37"/>
        <v>8.3232625587736919E-4</v>
      </c>
      <c r="AV181" t="b">
        <f t="shared" si="35"/>
        <v>1</v>
      </c>
    </row>
    <row r="182" spans="44:48" x14ac:dyDescent="0.3">
      <c r="AR182">
        <v>89.5</v>
      </c>
      <c r="AS182">
        <f t="shared" si="38"/>
        <v>6.1850004625436182E-2</v>
      </c>
      <c r="AT182">
        <f t="shared" si="36"/>
        <v>0.93814999537456378</v>
      </c>
      <c r="AU182">
        <f t="shared" si="37"/>
        <v>8.2141718330541735E-4</v>
      </c>
      <c r="AV182" t="b">
        <f t="shared" si="35"/>
        <v>1</v>
      </c>
    </row>
    <row r="183" spans="44:48" x14ac:dyDescent="0.3">
      <c r="AR183">
        <v>90</v>
      </c>
      <c r="AS183">
        <f t="shared" si="38"/>
        <v>6.1039353532472307E-2</v>
      </c>
      <c r="AT183">
        <f t="shared" si="36"/>
        <v>0.93896064646752775</v>
      </c>
      <c r="AU183">
        <f t="shared" si="37"/>
        <v>8.1065109296396543E-4</v>
      </c>
      <c r="AV183" t="b">
        <f t="shared" si="35"/>
        <v>1</v>
      </c>
    </row>
    <row r="184" spans="44:48" x14ac:dyDescent="0.3">
      <c r="AR184">
        <v>90.5</v>
      </c>
      <c r="AS184">
        <f t="shared" si="38"/>
        <v>6.0239327421648774E-2</v>
      </c>
      <c r="AT184">
        <f t="shared" si="36"/>
        <v>0.93976067257835127</v>
      </c>
      <c r="AU184">
        <f t="shared" si="37"/>
        <v>8.0002611082352626E-4</v>
      </c>
      <c r="AV184" t="b">
        <f t="shared" si="35"/>
        <v>1</v>
      </c>
    </row>
    <row r="185" spans="44:48" x14ac:dyDescent="0.3">
      <c r="AR185">
        <v>91</v>
      </c>
      <c r="AS185">
        <f t="shared" si="38"/>
        <v>5.9449787034230858E-2</v>
      </c>
      <c r="AT185">
        <f t="shared" si="36"/>
        <v>0.94055021296576913</v>
      </c>
      <c r="AU185">
        <f t="shared" si="37"/>
        <v>7.8954038741785304E-4</v>
      </c>
      <c r="AV185" t="b">
        <f t="shared" si="35"/>
        <v>1</v>
      </c>
    </row>
    <row r="186" spans="44:48" x14ac:dyDescent="0.3">
      <c r="AR186">
        <v>91.5</v>
      </c>
      <c r="AS186">
        <f t="shared" si="38"/>
        <v>5.8670594936709987E-2</v>
      </c>
      <c r="AT186">
        <f t="shared" si="36"/>
        <v>0.94132940506328999</v>
      </c>
      <c r="AU186">
        <f t="shared" si="37"/>
        <v>7.7919209752086438E-4</v>
      </c>
      <c r="AV186" t="b">
        <f t="shared" si="35"/>
        <v>1</v>
      </c>
    </row>
    <row r="187" spans="44:48" x14ac:dyDescent="0.3">
      <c r="AR187">
        <v>92</v>
      </c>
      <c r="AS187">
        <f t="shared" si="38"/>
        <v>5.7901615496881081E-2</v>
      </c>
      <c r="AT187">
        <f t="shared" si="36"/>
        <v>0.94209838450311889</v>
      </c>
      <c r="AU187">
        <f t="shared" si="37"/>
        <v>7.6897943982889849E-4</v>
      </c>
      <c r="AV187" t="b">
        <f t="shared" si="35"/>
        <v>1</v>
      </c>
    </row>
    <row r="188" spans="44:48" x14ac:dyDescent="0.3">
      <c r="AR188">
        <v>92.5</v>
      </c>
      <c r="AS188">
        <f t="shared" si="38"/>
        <v>5.7142714860233181E-2</v>
      </c>
      <c r="AT188">
        <f t="shared" si="36"/>
        <v>0.94285728513976685</v>
      </c>
      <c r="AU188">
        <f t="shared" si="37"/>
        <v>7.5890063664796337E-4</v>
      </c>
      <c r="AV188" t="b">
        <f t="shared" si="35"/>
        <v>1</v>
      </c>
    </row>
    <row r="189" spans="44:48" x14ac:dyDescent="0.3">
      <c r="AR189">
        <v>93</v>
      </c>
      <c r="AS189">
        <f t="shared" si="38"/>
        <v>5.6393760926649793E-2</v>
      </c>
      <c r="AT189">
        <f t="shared" si="36"/>
        <v>0.94360623907335017</v>
      </c>
      <c r="AU189">
        <f t="shared" si="37"/>
        <v>7.4895393358331841E-4</v>
      </c>
      <c r="AV189" t="b">
        <f t="shared" si="35"/>
        <v>1</v>
      </c>
    </row>
    <row r="190" spans="44:48" x14ac:dyDescent="0.3">
      <c r="AR190">
        <v>93.5</v>
      </c>
      <c r="AS190">
        <f t="shared" si="38"/>
        <v>5.5654623327414603E-2</v>
      </c>
      <c r="AT190">
        <f t="shared" si="36"/>
        <v>0.94434537667258545</v>
      </c>
      <c r="AU190">
        <f t="shared" si="37"/>
        <v>7.3913759923527333E-4</v>
      </c>
      <c r="AV190" t="b">
        <f t="shared" ref="AV190:AV203" si="39">AS190&lt;=AS189</f>
        <v>1</v>
      </c>
    </row>
    <row r="191" spans="44:48" x14ac:dyDescent="0.3">
      <c r="AR191">
        <v>94</v>
      </c>
      <c r="AS191">
        <f t="shared" si="38"/>
        <v>5.4925173402518304E-2</v>
      </c>
      <c r="AT191">
        <f t="shared" si="36"/>
        <v>0.94507482659748165</v>
      </c>
      <c r="AU191">
        <f t="shared" si="37"/>
        <v>7.294499248962083E-4</v>
      </c>
      <c r="AV191" t="b">
        <f t="shared" si="39"/>
        <v>1</v>
      </c>
    </row>
    <row r="192" spans="44:48" x14ac:dyDescent="0.3">
      <c r="AR192">
        <v>94.5</v>
      </c>
      <c r="AS192">
        <f t="shared" si="38"/>
        <v>5.4205284178263168E-2</v>
      </c>
      <c r="AT192">
        <f t="shared" si="36"/>
        <v>0.9457947158217368</v>
      </c>
      <c r="AU192">
        <f t="shared" si="37"/>
        <v>7.1988922425514357E-4</v>
      </c>
      <c r="AV192" t="b">
        <f t="shared" si="39"/>
        <v>1</v>
      </c>
    </row>
    <row r="193" spans="44:48" x14ac:dyDescent="0.3">
      <c r="AR193">
        <v>95</v>
      </c>
      <c r="AS193">
        <f t="shared" si="38"/>
        <v>5.3494830345161046E-2</v>
      </c>
      <c r="AT193">
        <f t="shared" si="36"/>
        <v>0.946505169654839</v>
      </c>
      <c r="AU193">
        <f t="shared" si="37"/>
        <v>7.1045383310219812E-4</v>
      </c>
      <c r="AV193" t="b">
        <f t="shared" si="39"/>
        <v>1</v>
      </c>
    </row>
    <row r="194" spans="44:48" x14ac:dyDescent="0.3">
      <c r="AR194">
        <v>95.5</v>
      </c>
      <c r="AS194">
        <f t="shared" si="38"/>
        <v>5.2793688236120885E-2</v>
      </c>
      <c r="AT194">
        <f t="shared" si="36"/>
        <v>0.94720631176387915</v>
      </c>
      <c r="AU194">
        <f t="shared" si="37"/>
        <v>7.0114210904015373E-4</v>
      </c>
      <c r="AV194" t="b">
        <f t="shared" si="39"/>
        <v>1</v>
      </c>
    </row>
    <row r="195" spans="44:48" x14ac:dyDescent="0.3">
      <c r="AR195">
        <v>96</v>
      </c>
      <c r="AS195">
        <f t="shared" si="38"/>
        <v>5.2101735804922465E-2</v>
      </c>
      <c r="AT195">
        <f t="shared" si="36"/>
        <v>0.9478982641950775</v>
      </c>
      <c r="AU195">
        <f t="shared" si="37"/>
        <v>6.9195243119835048E-4</v>
      </c>
      <c r="AV195" t="b">
        <f t="shared" si="39"/>
        <v>1</v>
      </c>
    </row>
    <row r="196" spans="44:48" x14ac:dyDescent="0.3">
      <c r="AR196">
        <v>96.5</v>
      </c>
      <c r="AS196">
        <f t="shared" si="38"/>
        <v>5.1418852604971921E-2</v>
      </c>
      <c r="AT196">
        <f t="shared" ref="AT196:AT203" si="40">1-AS196</f>
        <v>0.94858114739502808</v>
      </c>
      <c r="AU196">
        <f t="shared" si="37"/>
        <v>6.8288319995057911E-4</v>
      </c>
      <c r="AV196" t="b">
        <f t="shared" si="39"/>
        <v>1</v>
      </c>
    </row>
    <row r="197" spans="44:48" x14ac:dyDescent="0.3">
      <c r="AR197">
        <v>97</v>
      </c>
      <c r="AS197">
        <f t="shared" si="38"/>
        <v>5.0744919768335936E-2</v>
      </c>
      <c r="AT197">
        <f t="shared" si="40"/>
        <v>0.94925508023166405</v>
      </c>
      <c r="AU197">
        <f t="shared" ref="AU197:AU203" si="41">AT197-AT196</f>
        <v>6.7393283663597092E-4</v>
      </c>
      <c r="AV197" t="b">
        <f t="shared" si="39"/>
        <v>1</v>
      </c>
    </row>
    <row r="198" spans="44:48" x14ac:dyDescent="0.3">
      <c r="AR198">
        <v>97.5</v>
      </c>
      <c r="AS198">
        <f t="shared" si="38"/>
        <v>5.0079819985050768E-2</v>
      </c>
      <c r="AT198">
        <f t="shared" si="40"/>
        <v>0.94992018001494927</v>
      </c>
      <c r="AU198">
        <f t="shared" si="41"/>
        <v>6.6509978328521679E-4</v>
      </c>
      <c r="AV198" t="b">
        <f t="shared" si="39"/>
        <v>1</v>
      </c>
    </row>
    <row r="199" spans="44:48" x14ac:dyDescent="0.3">
      <c r="AR199">
        <v>98</v>
      </c>
      <c r="AS199">
        <f t="shared" si="38"/>
        <v>4.9423437482702177E-2</v>
      </c>
      <c r="AT199">
        <f t="shared" si="40"/>
        <v>0.95057656251729783</v>
      </c>
      <c r="AU199">
        <f t="shared" si="41"/>
        <v>6.5638250234856255E-4</v>
      </c>
      <c r="AV199" t="b">
        <f t="shared" si="39"/>
        <v>1</v>
      </c>
    </row>
    <row r="200" spans="44:48" x14ac:dyDescent="0.3">
      <c r="AR200">
        <v>98.5</v>
      </c>
      <c r="AS200">
        <f t="shared" si="38"/>
        <v>4.8775658006273391E-2</v>
      </c>
      <c r="AT200">
        <f t="shared" si="40"/>
        <v>0.95122434199372663</v>
      </c>
      <c r="AU200">
        <f t="shared" si="41"/>
        <v>6.4777947642880029E-4</v>
      </c>
      <c r="AV200" t="b">
        <f t="shared" si="39"/>
        <v>1</v>
      </c>
    </row>
    <row r="201" spans="44:48" x14ac:dyDescent="0.3">
      <c r="AR201">
        <v>99</v>
      </c>
      <c r="AS201">
        <f t="shared" si="38"/>
        <v>4.8136368798256821E-2</v>
      </c>
      <c r="AT201">
        <f t="shared" si="40"/>
        <v>0.95186363120174322</v>
      </c>
      <c r="AU201">
        <f t="shared" si="41"/>
        <v>6.3928920801659128E-4</v>
      </c>
      <c r="AV201" t="b">
        <f t="shared" si="39"/>
        <v>1</v>
      </c>
    </row>
    <row r="202" spans="44:48" x14ac:dyDescent="0.3">
      <c r="AR202">
        <v>99.5</v>
      </c>
      <c r="AS202">
        <f t="shared" si="38"/>
        <v>4.7505458579026674E-2</v>
      </c>
      <c r="AT202">
        <f t="shared" si="40"/>
        <v>0.95249454142097334</v>
      </c>
      <c r="AU202">
        <f t="shared" si="41"/>
        <v>6.3091021923011859E-4</v>
      </c>
      <c r="AV202" t="b">
        <f t="shared" si="39"/>
        <v>1</v>
      </c>
    </row>
    <row r="203" spans="44:48" x14ac:dyDescent="0.3">
      <c r="AR203">
        <v>100</v>
      </c>
      <c r="AS203">
        <f t="shared" si="38"/>
        <v>4.6882817527468874E-2</v>
      </c>
      <c r="AT203">
        <f t="shared" si="40"/>
        <v>0.95311718247253108</v>
      </c>
      <c r="AU203">
        <f t="shared" si="41"/>
        <v>6.2264105155773741E-4</v>
      </c>
      <c r="AV203" t="b">
        <f t="shared" si="39"/>
        <v>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75A4C-C7CC-4562-87D5-8FD5F095FC4D}">
  <dimension ref="B2:K12"/>
  <sheetViews>
    <sheetView workbookViewId="0">
      <selection activeCell="D3" sqref="D3:M7"/>
    </sheetView>
  </sheetViews>
  <sheetFormatPr defaultRowHeight="14.4" x14ac:dyDescent="0.3"/>
  <cols>
    <col min="3" max="3" width="11.33203125" bestFit="1" customWidth="1"/>
  </cols>
  <sheetData>
    <row r="2" spans="2:11" x14ac:dyDescent="0.3">
      <c r="B2" t="s">
        <v>13</v>
      </c>
    </row>
    <row r="3" spans="2:11" x14ac:dyDescent="0.3">
      <c r="B3" t="s">
        <v>14</v>
      </c>
      <c r="C3" t="s">
        <v>15</v>
      </c>
    </row>
    <row r="4" spans="2:11" x14ac:dyDescent="0.3">
      <c r="B4" t="s">
        <v>16</v>
      </c>
      <c r="C4" s="11">
        <v>45495</v>
      </c>
      <c r="E4" s="11"/>
      <c r="H4" s="6"/>
      <c r="J4" s="6"/>
      <c r="K4" s="6"/>
    </row>
    <row r="5" spans="2:11" x14ac:dyDescent="0.3">
      <c r="B5" t="s">
        <v>17</v>
      </c>
      <c r="C5" s="11">
        <v>45499</v>
      </c>
      <c r="E5" s="11"/>
      <c r="H5" s="6"/>
      <c r="J5" s="6"/>
      <c r="K5" s="6"/>
    </row>
    <row r="6" spans="2:11" x14ac:dyDescent="0.3">
      <c r="B6" t="s">
        <v>18</v>
      </c>
      <c r="C6" s="11">
        <v>45579</v>
      </c>
      <c r="E6" s="11"/>
      <c r="H6" s="6"/>
      <c r="J6" s="6"/>
      <c r="K6" s="6"/>
    </row>
    <row r="7" spans="2:11" x14ac:dyDescent="0.3">
      <c r="B7" t="s">
        <v>19</v>
      </c>
      <c r="C7" s="11">
        <v>45702</v>
      </c>
      <c r="E7" s="11"/>
      <c r="H7" s="6"/>
      <c r="J7" s="6"/>
      <c r="K7" s="6"/>
    </row>
    <row r="8" spans="2:11" x14ac:dyDescent="0.3">
      <c r="B8" t="s">
        <v>20</v>
      </c>
      <c r="C8" s="11">
        <v>45774</v>
      </c>
    </row>
    <row r="9" spans="2:11" x14ac:dyDescent="0.3">
      <c r="B9" t="s">
        <v>21</v>
      </c>
      <c r="C9" s="11">
        <v>45970</v>
      </c>
    </row>
    <row r="10" spans="2:11" x14ac:dyDescent="0.3">
      <c r="B10" t="s">
        <v>22</v>
      </c>
      <c r="C10" s="11">
        <v>46335</v>
      </c>
    </row>
    <row r="11" spans="2:11" x14ac:dyDescent="0.3">
      <c r="B11" t="s">
        <v>23</v>
      </c>
      <c r="C11" s="11">
        <v>47066</v>
      </c>
    </row>
    <row r="12" spans="2:11" x14ac:dyDescent="0.3">
      <c r="B12" t="s">
        <v>24</v>
      </c>
      <c r="C12" s="11">
        <v>48182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</cp:lastModifiedBy>
  <dcterms:created xsi:type="dcterms:W3CDTF">2026-01-14T20:57:16Z</dcterms:created>
  <dcterms:modified xsi:type="dcterms:W3CDTF">2026-02-06T20:28:30Z</dcterms:modified>
</cp:coreProperties>
</file>