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bin\"/>
    </mc:Choice>
  </mc:AlternateContent>
  <xr:revisionPtr revIDLastSave="0" documentId="13_ncr:1_{1D75419E-9937-407A-8E0E-2C459D2D8F5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la" sheetId="1" r:id="rId1"/>
    <sheet name="Numericos" sheetId="2" r:id="rId2"/>
    <sheet name="Sheet1" sheetId="3" r:id="rId3"/>
    <sheet name="Sheet2" sheetId="4" r:id="rId4"/>
  </sheets>
  <definedNames>
    <definedName name="_xlnm._FilterDatabase" localSheetId="2" hidden="1">Sheet1!$A$31:$E$51</definedName>
    <definedName name="_xlnm._FilterDatabase" localSheetId="3" hidden="1">Sheet2!$A$1:$O$1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3" l="1"/>
  <c r="G45" i="3"/>
  <c r="G44" i="3"/>
  <c r="G43" i="3"/>
  <c r="G41" i="3"/>
  <c r="G40" i="3"/>
  <c r="G39" i="3"/>
  <c r="G37" i="3"/>
</calcChain>
</file>

<file path=xl/sharedStrings.xml><?xml version="1.0" encoding="utf-8"?>
<sst xmlns="http://schemas.openxmlformats.org/spreadsheetml/2006/main" count="2010" uniqueCount="604">
  <si>
    <t>Sección</t>
  </si>
  <si>
    <t>Descripción</t>
  </si>
  <si>
    <t>Código</t>
  </si>
  <si>
    <t>Vencimiento</t>
  </si>
  <si>
    <t>Amortización/Plazo</t>
  </si>
  <si>
    <t>Frecuencia</t>
  </si>
  <si>
    <t>Próx. Venc.</t>
  </si>
  <si>
    <t>Tipo</t>
  </si>
  <si>
    <t>VR</t>
  </si>
  <si>
    <t>Cotización</t>
  </si>
  <si>
    <t>Fecha cot.</t>
  </si>
  <si>
    <t>Cupón</t>
  </si>
  <si>
    <t>Intereses corridos</t>
  </si>
  <si>
    <t>Yield anual</t>
  </si>
  <si>
    <t>Valor técnico</t>
  </si>
  <si>
    <t>Paridad</t>
  </si>
  <si>
    <t>TIR anual</t>
  </si>
  <si>
    <t>DM</t>
  </si>
  <si>
    <t>PPV</t>
  </si>
  <si>
    <t>Bonos PAR</t>
  </si>
  <si>
    <t>PAR $ Ley Arg.</t>
  </si>
  <si>
    <t>PARP</t>
  </si>
  <si>
    <t>31-Dec-38</t>
  </si>
  <si>
    <t>Sem.</t>
  </si>
  <si>
    <t>30-Sep-24</t>
  </si>
  <si>
    <t>R</t>
  </si>
  <si>
    <t>100</t>
  </si>
  <si>
    <t>16340</t>
  </si>
  <si>
    <t>28-Jun-24</t>
  </si>
  <si>
    <t>Tasa fija= 1.77%</t>
  </si>
  <si>
    <t>124.381</t>
  </si>
  <si>
    <t>3.03%</t>
  </si>
  <si>
    <t>27924.13</t>
  </si>
  <si>
    <t>58.52%</t>
  </si>
  <si>
    <t>7.96</t>
  </si>
  <si>
    <t>9.28</t>
  </si>
  <si>
    <t>Bonos Discount</t>
  </si>
  <si>
    <t>DISC $ Ley Arg.</t>
  </si>
  <si>
    <t>DICP</t>
  </si>
  <si>
    <t>31-Dec-33</t>
  </si>
  <si>
    <t>31-Dec-24</t>
  </si>
  <si>
    <t>A+R</t>
  </si>
  <si>
    <t>95</t>
  </si>
  <si>
    <t>31250</t>
  </si>
  <si>
    <t>Tasa fija= 5.83%</t>
  </si>
  <si>
    <t>5.431</t>
  </si>
  <si>
    <t>6.26%</t>
  </si>
  <si>
    <t>33544.16</t>
  </si>
  <si>
    <t>93.16%</t>
  </si>
  <si>
    <t>3.97</t>
  </si>
  <si>
    <t>4.66</t>
  </si>
  <si>
    <t>Bonos CUASIPAR</t>
  </si>
  <si>
    <t>CUASIPAR en $</t>
  </si>
  <si>
    <t>CUAP</t>
  </si>
  <si>
    <t>20230</t>
  </si>
  <si>
    <t>Tasa fija= 3.31%</t>
  </si>
  <si>
    <t>3.549</t>
  </si>
  <si>
    <t>6.32%</t>
  </si>
  <si>
    <t>38606.08</t>
  </si>
  <si>
    <t>52.40%</t>
  </si>
  <si>
    <t>10.51</t>
  </si>
  <si>
    <t>13.95</t>
  </si>
  <si>
    <t>UVP</t>
  </si>
  <si>
    <t>U.V.P. en U$S Ley Arg.</t>
  </si>
  <si>
    <t>TVPA</t>
  </si>
  <si>
    <t>15-Dec-35</t>
  </si>
  <si>
    <t>-</t>
  </si>
  <si>
    <t>15-Dec-25</t>
  </si>
  <si>
    <t>1739.5</t>
  </si>
  <si>
    <t>U.V.P. en $ Ley Arg.</t>
  </si>
  <si>
    <t>TVPP</t>
  </si>
  <si>
    <t>6.1</t>
  </si>
  <si>
    <t>U.V.P. en U$S Ley N.Y.</t>
  </si>
  <si>
    <t>TVPY</t>
  </si>
  <si>
    <t>3200</t>
  </si>
  <si>
    <t>U.V.P. en EUR Ley ING.</t>
  </si>
  <si>
    <t>TVPE</t>
  </si>
  <si>
    <t>9000</t>
  </si>
  <si>
    <t>PAP0</t>
  </si>
  <si>
    <t>16480</t>
  </si>
  <si>
    <t>3.01%</t>
  </si>
  <si>
    <t>59.02%</t>
  </si>
  <si>
    <t>8.53%</t>
  </si>
  <si>
    <t>7.98</t>
  </si>
  <si>
    <t>DIP0</t>
  </si>
  <si>
    <t>31540</t>
  </si>
  <si>
    <t>6.20%</t>
  </si>
  <si>
    <t>94.03%</t>
  </si>
  <si>
    <t>7.48%</t>
  </si>
  <si>
    <t>3.99</t>
  </si>
  <si>
    <t>U.V.P. en U$S Ley N.Y. Cje 2010</t>
  </si>
  <si>
    <t>TVY0</t>
  </si>
  <si>
    <t>2300</t>
  </si>
  <si>
    <t>62.62705</t>
  </si>
  <si>
    <t>2.74%</t>
  </si>
  <si>
    <t>283.08%</t>
  </si>
  <si>
    <t>0.41</t>
  </si>
  <si>
    <t>Bonar USD Ley Arg</t>
  </si>
  <si>
    <t>BONAR STEP-UP USD Ley Arg 2029</t>
  </si>
  <si>
    <t>AL29</t>
  </si>
  <si>
    <t>9-Jul-29</t>
  </si>
  <si>
    <t>10-Sem</t>
  </si>
  <si>
    <t>9-Jul-24</t>
  </si>
  <si>
    <t>74220</t>
  </si>
  <si>
    <t>Tasa fija.= 1.00%</t>
  </si>
  <si>
    <t>0.478</t>
  </si>
  <si>
    <t>35.08%</t>
  </si>
  <si>
    <t>100.48</t>
  </si>
  <si>
    <t>55.04%</t>
  </si>
  <si>
    <t>28.59%</t>
  </si>
  <si>
    <t>1.95</t>
  </si>
  <si>
    <t>2.61</t>
  </si>
  <si>
    <t>AL29D</t>
  </si>
  <si>
    <t>55.7</t>
  </si>
  <si>
    <t>9.13%</t>
  </si>
  <si>
    <t>55.44%</t>
  </si>
  <si>
    <t>28.18%</t>
  </si>
  <si>
    <t>1.96</t>
  </si>
  <si>
    <t>7.22</t>
  </si>
  <si>
    <t>BONAR STEP-UP USD Ley Arg 2030</t>
  </si>
  <si>
    <t>AL30</t>
  </si>
  <si>
    <t>9-Jul-30</t>
  </si>
  <si>
    <t>13-Sem</t>
  </si>
  <si>
    <t>74340</t>
  </si>
  <si>
    <t>Tasa fija.= 0.75%</t>
  </si>
  <si>
    <t>0.358</t>
  </si>
  <si>
    <t>6.60%</t>
  </si>
  <si>
    <t>100.36</t>
  </si>
  <si>
    <t>55.20%</t>
  </si>
  <si>
    <t>25.44%</t>
  </si>
  <si>
    <t>2.13</t>
  </si>
  <si>
    <t>1.17</t>
  </si>
  <si>
    <t>AL30D</t>
  </si>
  <si>
    <t>55.15</t>
  </si>
  <si>
    <t>8.79%</t>
  </si>
  <si>
    <t>54.95%</t>
  </si>
  <si>
    <t>25.67%</t>
  </si>
  <si>
    <t>9.1</t>
  </si>
  <si>
    <t>BONAR STEP-UP USD Ley Arg 2035</t>
  </si>
  <si>
    <t>AL35</t>
  </si>
  <si>
    <t>9-Jul-35</t>
  </si>
  <si>
    <t>59430</t>
  </si>
  <si>
    <t>Tasa fija.= 3.63%</t>
  </si>
  <si>
    <t>1.732</t>
  </si>
  <si>
    <t>8.52%</t>
  </si>
  <si>
    <t>101.73</t>
  </si>
  <si>
    <t>43.53%</t>
  </si>
  <si>
    <t>18.58%</t>
  </si>
  <si>
    <t>5.55</t>
  </si>
  <si>
    <t>7.58</t>
  </si>
  <si>
    <t>AL35D</t>
  </si>
  <si>
    <t>44.07</t>
  </si>
  <si>
    <t>8.17%</t>
  </si>
  <si>
    <t>43.32%</t>
  </si>
  <si>
    <t>18.68%</t>
  </si>
  <si>
    <t>5.54</t>
  </si>
  <si>
    <t>10.03</t>
  </si>
  <si>
    <t>BONAR STEP-UP USD Ley Arg 2038</t>
  </si>
  <si>
    <t>AE38</t>
  </si>
  <si>
    <t>9-Jan-38</t>
  </si>
  <si>
    <t>22-Sem</t>
  </si>
  <si>
    <t>60800</t>
  </si>
  <si>
    <t>Tasa fija.= 4.25%</t>
  </si>
  <si>
    <t>2.031</t>
  </si>
  <si>
    <t>1.82%</t>
  </si>
  <si>
    <t>102.03</t>
  </si>
  <si>
    <t>44.40%</t>
  </si>
  <si>
    <t>21.09%</t>
  </si>
  <si>
    <t>4.44</t>
  </si>
  <si>
    <t>2.74</t>
  </si>
  <si>
    <t>AE38D</t>
  </si>
  <si>
    <t>45.3</t>
  </si>
  <si>
    <t>1.81%</t>
  </si>
  <si>
    <t>BONAR STEP-UP USD Ley Arg 2041</t>
  </si>
  <si>
    <t>AL41</t>
  </si>
  <si>
    <t>9-Jul-41</t>
  </si>
  <si>
    <t>28-Sem</t>
  </si>
  <si>
    <t>55380</t>
  </si>
  <si>
    <t>Tasa fija.= 3.50%</t>
  </si>
  <si>
    <t>1.672</t>
  </si>
  <si>
    <t>1.36%</t>
  </si>
  <si>
    <t>101.67</t>
  </si>
  <si>
    <t>40.59%</t>
  </si>
  <si>
    <t>18.20%</t>
  </si>
  <si>
    <t>3.13</t>
  </si>
  <si>
    <t>AL41D</t>
  </si>
  <si>
    <t>41.39</t>
  </si>
  <si>
    <t>1.37%</t>
  </si>
  <si>
    <t>40.71%</t>
  </si>
  <si>
    <t>18.14%</t>
  </si>
  <si>
    <t>5.56</t>
  </si>
  <si>
    <t>Global USD Ley NY</t>
  </si>
  <si>
    <t>GLOBAL STEP-UP USD Ley NY 2029</t>
  </si>
  <si>
    <t>GD29</t>
  </si>
  <si>
    <t>77770</t>
  </si>
  <si>
    <t>8.84%</t>
  </si>
  <si>
    <t>57.67%</t>
  </si>
  <si>
    <t>25.95%</t>
  </si>
  <si>
    <t>2.01</t>
  </si>
  <si>
    <t>GD29D</t>
  </si>
  <si>
    <t>58.14</t>
  </si>
  <si>
    <t>8.56%</t>
  </si>
  <si>
    <t>57.86%</t>
  </si>
  <si>
    <t>25.77%</t>
  </si>
  <si>
    <t>GLOBAL STEP-UP USD Ley NY 2030</t>
  </si>
  <si>
    <t>GD30</t>
  </si>
  <si>
    <t>76540</t>
  </si>
  <si>
    <t>2.08%</t>
  </si>
  <si>
    <t>56.83%</t>
  </si>
  <si>
    <t>23.94%</t>
  </si>
  <si>
    <t>2.18</t>
  </si>
  <si>
    <t>1.35</t>
  </si>
  <si>
    <t>GD30D</t>
  </si>
  <si>
    <t>56.76</t>
  </si>
  <si>
    <t>9.82%</t>
  </si>
  <si>
    <t>56.56%</t>
  </si>
  <si>
    <t>24.18%</t>
  </si>
  <si>
    <t>2.17</t>
  </si>
  <si>
    <t>GLOBAL STEP-UP USD Ley NY 2035</t>
  </si>
  <si>
    <t>GD35</t>
  </si>
  <si>
    <t>59400</t>
  </si>
  <si>
    <t>2.72%</t>
  </si>
  <si>
    <t>43.51%</t>
  </si>
  <si>
    <t>18.59%</t>
  </si>
  <si>
    <t>2.32</t>
  </si>
  <si>
    <t>GD35D</t>
  </si>
  <si>
    <t>44.1</t>
  </si>
  <si>
    <t>8.81%</t>
  </si>
  <si>
    <t>43.35%</t>
  </si>
  <si>
    <t>18.66%</t>
  </si>
  <si>
    <t>GLOBAL STEP-UP USD Ley NY 2038</t>
  </si>
  <si>
    <t>GD38</t>
  </si>
  <si>
    <t>65190</t>
  </si>
  <si>
    <t>1.74%</t>
  </si>
  <si>
    <t>47.61%</t>
  </si>
  <si>
    <t>19.40%</t>
  </si>
  <si>
    <t>4.61</t>
  </si>
  <si>
    <t>GD38D</t>
  </si>
  <si>
    <t>48</t>
  </si>
  <si>
    <t>1.73%</t>
  </si>
  <si>
    <t>47.04%</t>
  </si>
  <si>
    <t>19.69%</t>
  </si>
  <si>
    <t>4.58</t>
  </si>
  <si>
    <t>GLOBAL STEP-UP USD Ley NY 2041</t>
  </si>
  <si>
    <t>GD41</t>
  </si>
  <si>
    <t>55710</t>
  </si>
  <si>
    <t>1.32%</t>
  </si>
  <si>
    <t>40.83%</t>
  </si>
  <si>
    <t>18.08%</t>
  </si>
  <si>
    <t>GD41D</t>
  </si>
  <si>
    <t>40.5</t>
  </si>
  <si>
    <t>1.33%</t>
  </si>
  <si>
    <t>39.83%</t>
  </si>
  <si>
    <t>18.57%</t>
  </si>
  <si>
    <t>5.49</t>
  </si>
  <si>
    <t>GLOBAL STEP-UP USD Ley NY 2046</t>
  </si>
  <si>
    <t>GD46</t>
  </si>
  <si>
    <t>9-Jul-46</t>
  </si>
  <si>
    <t>44-Sem</t>
  </si>
  <si>
    <t>61890</t>
  </si>
  <si>
    <t>45.33%</t>
  </si>
  <si>
    <t>18.26%</t>
  </si>
  <si>
    <t>4.59</t>
  </si>
  <si>
    <t>Pesos tasa fija</t>
  </si>
  <si>
    <t>BONTE OCT-2026 16,50%</t>
  </si>
  <si>
    <t>TO26</t>
  </si>
  <si>
    <t>17-Oct-26</t>
  </si>
  <si>
    <t>Al vto.</t>
  </si>
  <si>
    <t>17-Oct-24</t>
  </si>
  <si>
    <t>63.75</t>
  </si>
  <si>
    <t>Tasa fija.= 15.50%</t>
  </si>
  <si>
    <t>3.186</t>
  </si>
  <si>
    <t>8.37%</t>
  </si>
  <si>
    <t>103.19</t>
  </si>
  <si>
    <t>61.78%</t>
  </si>
  <si>
    <t>49.35%</t>
  </si>
  <si>
    <t>1.48</t>
  </si>
  <si>
    <t>1.02</t>
  </si>
  <si>
    <t>CER (cupón)</t>
  </si>
  <si>
    <t>BONTE CER +4,25% Dic-2024</t>
  </si>
  <si>
    <t>T5X4</t>
  </si>
  <si>
    <t>13-Dec-24</t>
  </si>
  <si>
    <t>411</t>
  </si>
  <si>
    <t>0.859</t>
  </si>
  <si>
    <t>4.19%</t>
  </si>
  <si>
    <t>405.22</t>
  </si>
  <si>
    <t>101.43%</t>
  </si>
  <si>
    <t>1.06%</t>
  </si>
  <si>
    <t>0.46</t>
  </si>
  <si>
    <t>0.45</t>
  </si>
  <si>
    <t>BONTE 2024 CER + 1,55%</t>
  </si>
  <si>
    <t>T2X4</t>
  </si>
  <si>
    <t>26-Jul-24</t>
  </si>
  <si>
    <t>1543</t>
  </si>
  <si>
    <t>Tasa fija.= 1.55%</t>
  </si>
  <si>
    <t>10.091</t>
  </si>
  <si>
    <t>1.53%</t>
  </si>
  <si>
    <t>1522.21</t>
  </si>
  <si>
    <t>101.37%</t>
  </si>
  <si>
    <t>-16.68%</t>
  </si>
  <si>
    <t>0.07</t>
  </si>
  <si>
    <t>BONTE 2024 CER +4.00%</t>
  </si>
  <si>
    <t>T4X4</t>
  </si>
  <si>
    <t>14-Oct-24</t>
  </si>
  <si>
    <t>510.2</t>
  </si>
  <si>
    <t>Tasa fija.= 4.00%</t>
  </si>
  <si>
    <t>4.261</t>
  </si>
  <si>
    <t>3.94%</t>
  </si>
  <si>
    <t>502.29</t>
  </si>
  <si>
    <t>101.58%</t>
  </si>
  <si>
    <t>-1.50%</t>
  </si>
  <si>
    <t>0.29</t>
  </si>
  <si>
    <t>BONTE 2025 CER +4.25%</t>
  </si>
  <si>
    <t>T2X5</t>
  </si>
  <si>
    <t>14-Aug-24</t>
  </si>
  <si>
    <t>509.6</t>
  </si>
  <si>
    <t>8.055</t>
  </si>
  <si>
    <t>4.22%</t>
  </si>
  <si>
    <t>506.08</t>
  </si>
  <si>
    <t>100.70%</t>
  </si>
  <si>
    <t>3.08%</t>
  </si>
  <si>
    <t>0.6</t>
  </si>
  <si>
    <t>0.61</t>
  </si>
  <si>
    <t>BONCER 2025 4%</t>
  </si>
  <si>
    <t>TC25P</t>
  </si>
  <si>
    <t>27-Oct-24</t>
  </si>
  <si>
    <t>4520</t>
  </si>
  <si>
    <t>31.743</t>
  </si>
  <si>
    <t>3.98%</t>
  </si>
  <si>
    <t>4495.54</t>
  </si>
  <si>
    <t>100.54%</t>
  </si>
  <si>
    <t>3.34%</t>
  </si>
  <si>
    <t>0.8</t>
  </si>
  <si>
    <t>0.81</t>
  </si>
  <si>
    <t>BONTE 2025 CER +1.8%</t>
  </si>
  <si>
    <t>TX25</t>
  </si>
  <si>
    <t>9-Nov-24</t>
  </si>
  <si>
    <t>850</t>
  </si>
  <si>
    <t>Tasa fija.= 1.80%</t>
  </si>
  <si>
    <t>2.276</t>
  </si>
  <si>
    <t>1.86%</t>
  </si>
  <si>
    <t>877.69</t>
  </si>
  <si>
    <t>96.85%</t>
  </si>
  <si>
    <t>4.26%</t>
  </si>
  <si>
    <t>1.32</t>
  </si>
  <si>
    <t>BONTE 2026 CER +2%</t>
  </si>
  <si>
    <t>TX26</t>
  </si>
  <si>
    <t>5-Sem</t>
  </si>
  <si>
    <t>1729</t>
  </si>
  <si>
    <t>Tasa fija.= 2.00%</t>
  </si>
  <si>
    <t>5.184</t>
  </si>
  <si>
    <t>1799.52</t>
  </si>
  <si>
    <t>96.08%</t>
  </si>
  <si>
    <t>5.12%</t>
  </si>
  <si>
    <t>1.29</t>
  </si>
  <si>
    <t>BONTE 2028 CER +2,25%</t>
  </si>
  <si>
    <t>TX28</t>
  </si>
  <si>
    <t>90</t>
  </si>
  <si>
    <t>1488</t>
  </si>
  <si>
    <t>Tasa fija.= 2.25%</t>
  </si>
  <si>
    <t>5.248</t>
  </si>
  <si>
    <t>1799.58</t>
  </si>
  <si>
    <t>82.69%</t>
  </si>
  <si>
    <t>6.19%</t>
  </si>
  <si>
    <t>2.16</t>
  </si>
  <si>
    <t>BONTE 2028 CER +2,5%</t>
  </si>
  <si>
    <t>TX31</t>
  </si>
  <si>
    <t>30-Nov-24</t>
  </si>
  <si>
    <t>667.9</t>
  </si>
  <si>
    <t>Tasa fija.= 2.50%</t>
  </si>
  <si>
    <t>1.856</t>
  </si>
  <si>
    <t>3.24%</t>
  </si>
  <si>
    <t>864.12</t>
  </si>
  <si>
    <t>77.29%</t>
  </si>
  <si>
    <t>8.20%</t>
  </si>
  <si>
    <t>4.51</t>
  </si>
  <si>
    <t>4.91</t>
  </si>
  <si>
    <t>CER cupón cero</t>
  </si>
  <si>
    <t>BONO TES. NAC. $ CER</t>
  </si>
  <si>
    <t>TZX25</t>
  </si>
  <si>
    <t>30-Jun-25</t>
  </si>
  <si>
    <t>A</t>
  </si>
  <si>
    <t>158.7</t>
  </si>
  <si>
    <t>Cupón Cero</t>
  </si>
  <si>
    <t>158.70%</t>
  </si>
  <si>
    <t>4.38%</t>
  </si>
  <si>
    <t>0.98</t>
  </si>
  <si>
    <t>1</t>
  </si>
  <si>
    <t>TZX26</t>
  </si>
  <si>
    <t>30-Jun-26</t>
  </si>
  <si>
    <t>181.75</t>
  </si>
  <si>
    <t>181.75%</t>
  </si>
  <si>
    <t>5.40%</t>
  </si>
  <si>
    <t>1.94</t>
  </si>
  <si>
    <t>2</t>
  </si>
  <si>
    <t>TZX27</t>
  </si>
  <si>
    <t>30-Jun-27</t>
  </si>
  <si>
    <t>170</t>
  </si>
  <si>
    <t>170.00%</t>
  </si>
  <si>
    <t>5.90%</t>
  </si>
  <si>
    <t>2.91</t>
  </si>
  <si>
    <t>3</t>
  </si>
  <si>
    <t>TZX28</t>
  </si>
  <si>
    <t>30-Jun-28</t>
  </si>
  <si>
    <t>148</t>
  </si>
  <si>
    <t>201.87</t>
  </si>
  <si>
    <t>73.32%</t>
  </si>
  <si>
    <t>8.07%</t>
  </si>
  <si>
    <t>3.84</t>
  </si>
  <si>
    <t>4</t>
  </si>
  <si>
    <t>TZXD5</t>
  </si>
  <si>
    <t>136.75</t>
  </si>
  <si>
    <t>150.06</t>
  </si>
  <si>
    <t>91.13%</t>
  </si>
  <si>
    <t>6.59%</t>
  </si>
  <si>
    <t>1.41</t>
  </si>
  <si>
    <t>1.75</t>
  </si>
  <si>
    <t>TZXD6</t>
  </si>
  <si>
    <t>15-Dec-26</t>
  </si>
  <si>
    <t>128</t>
  </si>
  <si>
    <t>149.24</t>
  </si>
  <si>
    <t>85.77%</t>
  </si>
  <si>
    <t>6.45%</t>
  </si>
  <si>
    <t>2.38</t>
  </si>
  <si>
    <t>2.46</t>
  </si>
  <si>
    <t>TZXD7</t>
  </si>
  <si>
    <t>15-Dec-27</t>
  </si>
  <si>
    <t>115.5</t>
  </si>
  <si>
    <t>77.39%</t>
  </si>
  <si>
    <t>7.69%</t>
  </si>
  <si>
    <t>3.33</t>
  </si>
  <si>
    <t>3.46</t>
  </si>
  <si>
    <t>TZXM6</t>
  </si>
  <si>
    <t>31-Mar-26</t>
  </si>
  <si>
    <t>109.5</t>
  </si>
  <si>
    <t>120.02</t>
  </si>
  <si>
    <t>91.23%</t>
  </si>
  <si>
    <t>5.39%</t>
  </si>
  <si>
    <t>1.7</t>
  </si>
  <si>
    <t>Moneda dual</t>
  </si>
  <si>
    <t>BONO DUAL VTO AGOSTO 2024</t>
  </si>
  <si>
    <t>TDG24</t>
  </si>
  <si>
    <t>30-Aug-24</t>
  </si>
  <si>
    <t>105250</t>
  </si>
  <si>
    <t>Tasa fija.= 3.25%</t>
  </si>
  <si>
    <t>3364.296</t>
  </si>
  <si>
    <t>3.14%</t>
  </si>
  <si>
    <t>101951.74</t>
  </si>
  <si>
    <t>103.24%</t>
  </si>
  <si>
    <t>-14.99%</t>
  </si>
  <si>
    <t>0.18</t>
  </si>
  <si>
    <t>0.16</t>
  </si>
  <si>
    <t>BONO DUAL VTO JUNIO 2024</t>
  </si>
  <si>
    <t>TDJ24</t>
  </si>
  <si>
    <t>30-Jun-24</t>
  </si>
  <si>
    <t>Anual</t>
  </si>
  <si>
    <t>115950</t>
  </si>
  <si>
    <t>27-Jun-24</t>
  </si>
  <si>
    <t>2917.797</t>
  </si>
  <si>
    <t>3.28%</t>
  </si>
  <si>
    <t>117123.51</t>
  </si>
  <si>
    <t>99.00%</t>
  </si>
  <si>
    <t>0.00%</t>
  </si>
  <si>
    <t>0</t>
  </si>
  <si>
    <t>BONO DUAL VTO ENERO 2025</t>
  </si>
  <si>
    <t>TDE25</t>
  </si>
  <si>
    <t>31-Jan-25</t>
  </si>
  <si>
    <t>116500</t>
  </si>
  <si>
    <t>2.83%</t>
  </si>
  <si>
    <t>114.27%</t>
  </si>
  <si>
    <t>-17.84%</t>
  </si>
  <si>
    <t>0.64</t>
  </si>
  <si>
    <t>0.59</t>
  </si>
  <si>
    <t>Dollar-linked</t>
  </si>
  <si>
    <t>BONTE VINC. DÓLAR 0.5% 2025</t>
  </si>
  <si>
    <t>TV25</t>
  </si>
  <si>
    <t>31-Mar-25</t>
  </si>
  <si>
    <t>109750</t>
  </si>
  <si>
    <t>Tasa fija.= 0.50%</t>
  </si>
  <si>
    <t>0.126</t>
  </si>
  <si>
    <t>0.42%</t>
  </si>
  <si>
    <t>100.13</t>
  </si>
  <si>
    <t>120.35%</t>
  </si>
  <si>
    <t>-21.58%</t>
  </si>
  <si>
    <t>0.85</t>
  </si>
  <si>
    <t>0.75</t>
  </si>
  <si>
    <t>BONO TES. NAC. $ VINCULADO USD</t>
  </si>
  <si>
    <t>TZV25</t>
  </si>
  <si>
    <t>107000</t>
  </si>
  <si>
    <t>Sin tasa</t>
  </si>
  <si>
    <t>79.73%</t>
  </si>
  <si>
    <t>25.50%</t>
  </si>
  <si>
    <t>0.88</t>
  </si>
  <si>
    <t>BOPREAL</t>
  </si>
  <si>
    <t>BOPREAL 1 CLASE A 2027 PESOS</t>
  </si>
  <si>
    <t>BPOA7</t>
  </si>
  <si>
    <t>31-Oct-27</t>
  </si>
  <si>
    <t>2-Sem</t>
  </si>
  <si>
    <t>31-Oct-24</t>
  </si>
  <si>
    <t>124490</t>
  </si>
  <si>
    <t>Tasa fija 5.00%</t>
  </si>
  <si>
    <t>2.4444</t>
  </si>
  <si>
    <t>5.54%</t>
  </si>
  <si>
    <t>102.444</t>
  </si>
  <si>
    <t>90.55%</t>
  </si>
  <si>
    <t>2.69</t>
  </si>
  <si>
    <t>2.86</t>
  </si>
  <si>
    <t>BOPREAL 1 CLASE B 2027 PESOS</t>
  </si>
  <si>
    <t>BPOB7</t>
  </si>
  <si>
    <t>111000</t>
  </si>
  <si>
    <t>6.23%</t>
  </si>
  <si>
    <t>80.74%</t>
  </si>
  <si>
    <t>13.36%</t>
  </si>
  <si>
    <t>BOPREAL 1 CLASE C 2027 PESOS</t>
  </si>
  <si>
    <t>BPOC7</t>
  </si>
  <si>
    <t>101800</t>
  </si>
  <si>
    <t>6.81%</t>
  </si>
  <si>
    <t>74.05%</t>
  </si>
  <si>
    <t>16.95%</t>
  </si>
  <si>
    <t>2.55</t>
  </si>
  <si>
    <t>BOPREAL 1 CLASE D 2027 PESOS</t>
  </si>
  <si>
    <t>BPOD7</t>
  </si>
  <si>
    <t>97560</t>
  </si>
  <si>
    <t>7.12%</t>
  </si>
  <si>
    <t>70.96%</t>
  </si>
  <si>
    <t>18.76%</t>
  </si>
  <si>
    <t>2.52</t>
  </si>
  <si>
    <t>BOPREAL SERIE 2-2025-PESOS</t>
  </si>
  <si>
    <t>BPJ25</t>
  </si>
  <si>
    <t>12-Mens</t>
  </si>
  <si>
    <t>31-Jul-24</t>
  </si>
  <si>
    <t>127880</t>
  </si>
  <si>
    <t>95.29%</t>
  </si>
  <si>
    <t>9.40%</t>
  </si>
  <si>
    <t>0.51</t>
  </si>
  <si>
    <t>0.54</t>
  </si>
  <si>
    <t>BOPREAL SERIE 2-2025-CABLE</t>
  </si>
  <si>
    <t>BPJ5C</t>
  </si>
  <si>
    <t>94.25</t>
  </si>
  <si>
    <t>94.25%</t>
  </si>
  <si>
    <t>10.03%</t>
  </si>
  <si>
    <t>0.62</t>
  </si>
  <si>
    <t>BOPREAL SERIE 2-2025-MEP</t>
  </si>
  <si>
    <t>BPJ5D</t>
  </si>
  <si>
    <t>94.8</t>
  </si>
  <si>
    <t>94.80%</t>
  </si>
  <si>
    <t>9.00%</t>
  </si>
  <si>
    <t>BOPREAL SERIE 3-2026-PESOS</t>
  </si>
  <si>
    <t>BPY26</t>
  </si>
  <si>
    <t>31-May-26</t>
  </si>
  <si>
    <t>3-Trim</t>
  </si>
  <si>
    <t>Trim.</t>
  </si>
  <si>
    <t>31-Aug-24</t>
  </si>
  <si>
    <t>102800</t>
  </si>
  <si>
    <t>Tasa fija 3.00%</t>
  </si>
  <si>
    <t>0.95</t>
  </si>
  <si>
    <t>3.97%</t>
  </si>
  <si>
    <t>100.95</t>
  </si>
  <si>
    <t>75.88%</t>
  </si>
  <si>
    <t>22.29%</t>
  </si>
  <si>
    <t>1.44</t>
  </si>
  <si>
    <t>1.62</t>
  </si>
  <si>
    <t>BOPREAL SERIE 3-2026-CABLE</t>
  </si>
  <si>
    <t>BPY6C</t>
  </si>
  <si>
    <t>76</t>
  </si>
  <si>
    <t>4.00%</t>
  </si>
  <si>
    <t>75.28%</t>
  </si>
  <si>
    <t>22.89%</t>
  </si>
  <si>
    <t>BOPREAL SERIE 3-2026-MEP</t>
  </si>
  <si>
    <t>BPY6D</t>
  </si>
  <si>
    <t>76.6</t>
  </si>
  <si>
    <t>VR_num</t>
  </si>
  <si>
    <t>Cotización_num</t>
  </si>
  <si>
    <t>Intereses corridos_num</t>
  </si>
  <si>
    <t>Valor técnico_num</t>
  </si>
  <si>
    <t>DM_num</t>
  </si>
  <si>
    <t>PPV_num</t>
  </si>
  <si>
    <t>TIR</t>
  </si>
  <si>
    <t>Nombre</t>
  </si>
  <si>
    <t>Ticker</t>
  </si>
  <si>
    <t>30/6/2024</t>
  </si>
  <si>
    <t>30/6/2025</t>
  </si>
  <si>
    <t>30/6/2026</t>
  </si>
  <si>
    <t>30/6/2027</t>
  </si>
  <si>
    <t>30/6/2028</t>
  </si>
  <si>
    <t>30/6/2029</t>
  </si>
  <si>
    <t>30/6/2030</t>
  </si>
  <si>
    <t>30/6/2031</t>
  </si>
  <si>
    <t>30/6/2032</t>
  </si>
  <si>
    <t>30/6/2033</t>
  </si>
  <si>
    <t>30/6/2034</t>
  </si>
  <si>
    <t>30/6/2035</t>
  </si>
  <si>
    <t>30/6/2036</t>
  </si>
  <si>
    <t>30/6/2037</t>
  </si>
  <si>
    <t>30/6/2038</t>
  </si>
  <si>
    <t>30/6/2039</t>
  </si>
  <si>
    <t>30/6/2040</t>
  </si>
  <si>
    <t>30/6/2041</t>
  </si>
  <si>
    <t>30/6/2042</t>
  </si>
  <si>
    <t>30/6/2043</t>
  </si>
  <si>
    <t>30/6/2044</t>
  </si>
  <si>
    <t>30/6/2045</t>
  </si>
  <si>
    <t>TIR sin ECL</t>
  </si>
  <si>
    <t>Emisión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</si>
</sst>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4" borderId="3" xfId="0" applyFill="1" applyBorder="1"/>
    <xf numFmtId="15" fontId="0" fillId="0" borderId="0" xfId="0" applyNumberFormat="1"/>
    <xf numFmtId="15" fontId="0" fillId="3" borderId="2" xfId="0" applyNumberFormat="1" applyFill="1" applyBorder="1"/>
    <xf numFmtId="15" fontId="0" fillId="4" borderId="2" xfId="0" applyNumberFormat="1" applyFill="1" applyBorder="1"/>
    <xf numFmtId="10" fontId="0" fillId="3" borderId="2" xfId="0" applyNumberFormat="1" applyFill="1" applyBorder="1"/>
    <xf numFmtId="10" fontId="0" fillId="4" borderId="2" xfId="0" applyNumberFormat="1" applyFill="1" applyBorder="1"/>
    <xf numFmtId="10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0" fillId="3" borderId="2" xfId="0" applyNumberFormat="1" applyFill="1" applyBorder="1"/>
    <xf numFmtId="164" fontId="0" fillId="4" borderId="2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0133639545056866E-2"/>
                  <c:y val="0.223432123067949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/>
                      <a:t>1.2638ln</a:t>
                    </a:r>
                    <a:r>
                      <a:rPr lang="en-US" baseline="0"/>
                      <a:t>(x) - 13.515</a:t>
                    </a:r>
                    <a:br>
                      <a:rPr lang="en-US" baseline="0"/>
                    </a:br>
                    <a:r>
                      <a:rPr lang="en-US" baseline="0"/>
                      <a:t>R² = 0.6964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Sheet1!$D$14:$D$23</c:f>
              <c:numCache>
                <c:formatCode>d\-mmm\-yy</c:formatCode>
                <c:ptCount val="10"/>
                <c:pt idx="0">
                  <c:v>45838</c:v>
                </c:pt>
                <c:pt idx="1">
                  <c:v>45970</c:v>
                </c:pt>
                <c:pt idx="2">
                  <c:v>46006</c:v>
                </c:pt>
                <c:pt idx="3">
                  <c:v>46112</c:v>
                </c:pt>
                <c:pt idx="4">
                  <c:v>46203</c:v>
                </c:pt>
                <c:pt idx="5">
                  <c:v>46335</c:v>
                </c:pt>
                <c:pt idx="6">
                  <c:v>46371</c:v>
                </c:pt>
                <c:pt idx="7">
                  <c:v>46568</c:v>
                </c:pt>
                <c:pt idx="8">
                  <c:v>46736</c:v>
                </c:pt>
                <c:pt idx="9">
                  <c:v>46934</c:v>
                </c:pt>
              </c:numCache>
            </c:numRef>
          </c:xVal>
          <c:yVal>
            <c:numRef>
              <c:f>Sheet1!$E$14:$E$23</c:f>
              <c:numCache>
                <c:formatCode>0.00%</c:formatCode>
                <c:ptCount val="10"/>
                <c:pt idx="0">
                  <c:v>4.3799999999999999E-2</c:v>
                </c:pt>
                <c:pt idx="1">
                  <c:v>4.2599999999999999E-2</c:v>
                </c:pt>
                <c:pt idx="2">
                  <c:v>6.59E-2</c:v>
                </c:pt>
                <c:pt idx="3">
                  <c:v>5.3900000000000003E-2</c:v>
                </c:pt>
                <c:pt idx="4">
                  <c:v>5.3999999999999999E-2</c:v>
                </c:pt>
                <c:pt idx="5">
                  <c:v>5.1200000000000002E-2</c:v>
                </c:pt>
                <c:pt idx="6">
                  <c:v>6.4500000000000002E-2</c:v>
                </c:pt>
                <c:pt idx="7">
                  <c:v>5.8999999999999997E-2</c:v>
                </c:pt>
                <c:pt idx="8">
                  <c:v>7.6899999999999996E-2</c:v>
                </c:pt>
                <c:pt idx="9">
                  <c:v>8.0699999999999994E-2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8-4D94-B6D2-DEDF316A9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963935"/>
        <c:axId val="1866961535"/>
      </c:scatterChart>
      <c:valAx>
        <c:axId val="186696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6961535"/>
        <c:crosses val="autoZero"/>
        <c:crossBetween val="midCat"/>
      </c:valAx>
      <c:valAx>
        <c:axId val="18669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696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6</xdr:row>
      <xdr:rowOff>156210</xdr:rowOff>
    </xdr:from>
    <xdr:to>
      <xdr:col>16</xdr:col>
      <xdr:colOff>495300</xdr:colOff>
      <xdr:row>30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89EA72-AE28-491A-5F15-3F16B1BA9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onos" displayName="TablaBonos" ref="A1:T65">
  <autoFilter ref="A1:T65" xr:uid="{00000000-000C-0000-FFFF-FFFF00000000}">
    <filterColumn colId="0">
      <filters>
        <filter val="Bonos CUASIPAR"/>
        <filter val="Bonos Discount"/>
        <filter val="Bonos PAR"/>
        <filter val="CER (cupón)"/>
        <filter val="CER cupón cero"/>
      </filters>
    </filterColumn>
    <filterColumn colId="2">
      <filters>
        <filter val="CUAP"/>
        <filter val="DICP"/>
        <filter val="DIP0"/>
        <filter val="PAP0"/>
        <filter val="PARP"/>
        <filter val="T2X4"/>
        <filter val="T2X5"/>
        <filter val="T5X4"/>
        <filter val="TC25P"/>
        <filter val="TX25"/>
        <filter val="TX26"/>
        <filter val="TX28"/>
        <filter val="TZX25"/>
        <filter val="TZX26"/>
        <filter val="TZX27"/>
        <filter val="TZX28"/>
        <filter val="TZXD5"/>
        <filter val="TZXD6"/>
        <filter val="TZXD7"/>
        <filter val="TZXM6"/>
      </filters>
    </filterColumn>
  </autoFilter>
  <tableColumns count="20">
    <tableColumn id="1" xr3:uid="{00000000-0010-0000-0000-000001000000}" name="Sección"/>
    <tableColumn id="2" xr3:uid="{00000000-0010-0000-0000-000002000000}" name="Descripción"/>
    <tableColumn id="3" xr3:uid="{00000000-0010-0000-0000-000003000000}" name="Código"/>
    <tableColumn id="20" xr3:uid="{6A398282-AD46-4691-AB3D-DC50C2122227}" name="Emisión"/>
    <tableColumn id="4" xr3:uid="{00000000-0010-0000-0000-000004000000}" name="Vencimiento"/>
    <tableColumn id="5" xr3:uid="{00000000-0010-0000-0000-000005000000}" name="Amortización/Plazo"/>
    <tableColumn id="6" xr3:uid="{00000000-0010-0000-0000-000006000000}" name="Frecuencia"/>
    <tableColumn id="7" xr3:uid="{00000000-0010-0000-0000-000007000000}" name="Próx. Venc."/>
    <tableColumn id="8" xr3:uid="{00000000-0010-0000-0000-000008000000}" name="Tipo"/>
    <tableColumn id="9" xr3:uid="{00000000-0010-0000-0000-000009000000}" name="VR"/>
    <tableColumn id="10" xr3:uid="{00000000-0010-0000-0000-00000A000000}" name="Cotización"/>
    <tableColumn id="11" xr3:uid="{00000000-0010-0000-0000-00000B000000}" name="Fecha cot."/>
    <tableColumn id="12" xr3:uid="{00000000-0010-0000-0000-00000C000000}" name="Cupón"/>
    <tableColumn id="13" xr3:uid="{00000000-0010-0000-0000-00000D000000}" name="Intereses corridos"/>
    <tableColumn id="14" xr3:uid="{00000000-0010-0000-0000-00000E000000}" name="Yield anual"/>
    <tableColumn id="15" xr3:uid="{00000000-0010-0000-0000-00000F000000}" name="Valor técnico"/>
    <tableColumn id="16" xr3:uid="{00000000-0010-0000-0000-000010000000}" name="Paridad"/>
    <tableColumn id="17" xr3:uid="{00000000-0010-0000-0000-000011000000}" name="TIR anual"/>
    <tableColumn id="18" xr3:uid="{00000000-0010-0000-0000-000012000000}" name="DM"/>
    <tableColumn id="19" xr3:uid="{00000000-0010-0000-0000-000013000000}" name="PP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BonosNum" displayName="TablaBonosNum" ref="A1:Y65">
  <autoFilter ref="A1:Y65" xr:uid="{00000000-0009-0000-0100-000002000000}"/>
  <tableColumns count="25">
    <tableColumn id="1" xr3:uid="{00000000-0010-0000-0100-000001000000}" name="Sección"/>
    <tableColumn id="2" xr3:uid="{00000000-0010-0000-0100-000002000000}" name="Descripción"/>
    <tableColumn id="3" xr3:uid="{00000000-0010-0000-0100-000003000000}" name="Código"/>
    <tableColumn id="4" xr3:uid="{00000000-0010-0000-0100-000004000000}" name="Vencimiento"/>
    <tableColumn id="5" xr3:uid="{00000000-0010-0000-0100-000005000000}" name="Amortización/Plazo"/>
    <tableColumn id="6" xr3:uid="{00000000-0010-0000-0100-000006000000}" name="Frecuencia"/>
    <tableColumn id="7" xr3:uid="{00000000-0010-0000-0100-000007000000}" name="Próx. Venc."/>
    <tableColumn id="8" xr3:uid="{00000000-0010-0000-0100-000008000000}" name="Tipo"/>
    <tableColumn id="9" xr3:uid="{00000000-0010-0000-0100-000009000000}" name="VR"/>
    <tableColumn id="10" xr3:uid="{00000000-0010-0000-0100-00000A000000}" name="Cotización"/>
    <tableColumn id="11" xr3:uid="{00000000-0010-0000-0100-00000B000000}" name="Fecha cot."/>
    <tableColumn id="12" xr3:uid="{00000000-0010-0000-0100-00000C000000}" name="Cupón"/>
    <tableColumn id="13" xr3:uid="{00000000-0010-0000-0100-00000D000000}" name="Intereses corridos"/>
    <tableColumn id="14" xr3:uid="{00000000-0010-0000-0100-00000E000000}" name="Yield anual"/>
    <tableColumn id="15" xr3:uid="{00000000-0010-0000-0100-00000F000000}" name="Valor técnico"/>
    <tableColumn id="16" xr3:uid="{00000000-0010-0000-0100-000010000000}" name="Paridad"/>
    <tableColumn id="17" xr3:uid="{00000000-0010-0000-0100-000011000000}" name="TIR anual"/>
    <tableColumn id="18" xr3:uid="{00000000-0010-0000-0100-000012000000}" name="DM"/>
    <tableColumn id="19" xr3:uid="{00000000-0010-0000-0100-000013000000}" name="PPV"/>
    <tableColumn id="20" xr3:uid="{00000000-0010-0000-0100-000014000000}" name="VR_num"/>
    <tableColumn id="21" xr3:uid="{00000000-0010-0000-0100-000015000000}" name="Cotización_num"/>
    <tableColumn id="22" xr3:uid="{00000000-0010-0000-0100-000016000000}" name="Intereses corridos_num"/>
    <tableColumn id="23" xr3:uid="{00000000-0010-0000-0100-000017000000}" name="Valor técnico_num"/>
    <tableColumn id="24" xr3:uid="{00000000-0010-0000-0100-000018000000}" name="DM_num"/>
    <tableColumn id="25" xr3:uid="{00000000-0010-0000-0100-000019000000}" name="PPV_n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workbookViewId="0">
      <pane ySplit="1" topLeftCell="A2" activePane="bottomLeft" state="frozen"/>
      <selection pane="bottomLeft" activeCell="D46" sqref="D46"/>
    </sheetView>
  </sheetViews>
  <sheetFormatPr defaultRowHeight="14.4" x14ac:dyDescent="0.3"/>
  <cols>
    <col min="1" max="1" width="19" customWidth="1"/>
    <col min="2" max="2" width="33" customWidth="1"/>
    <col min="3" max="4" width="10" customWidth="1"/>
    <col min="5" max="5" width="13" customWidth="1"/>
    <col min="6" max="6" width="20" customWidth="1"/>
    <col min="7" max="7" width="12" customWidth="1"/>
    <col min="8" max="8" width="13" customWidth="1"/>
    <col min="9" max="10" width="10" customWidth="1"/>
    <col min="11" max="12" width="12" customWidth="1"/>
    <col min="13" max="14" width="20" customWidth="1"/>
    <col min="15" max="15" width="13" customWidth="1"/>
    <col min="16" max="16" width="15" customWidth="1"/>
    <col min="17" max="17" width="10" customWidth="1"/>
    <col min="18" max="18" width="11" customWidth="1"/>
    <col min="19" max="20" width="1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603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t="s">
        <v>19</v>
      </c>
      <c r="B2" t="s">
        <v>20</v>
      </c>
      <c r="C2" t="s">
        <v>21</v>
      </c>
      <c r="D2" s="8">
        <v>37986</v>
      </c>
      <c r="E2" s="8">
        <v>50770</v>
      </c>
      <c r="F2" t="s">
        <v>23</v>
      </c>
      <c r="G2" t="s">
        <v>23</v>
      </c>
      <c r="H2" s="8">
        <v>45565</v>
      </c>
      <c r="I2" t="s">
        <v>25</v>
      </c>
      <c r="J2">
        <v>100</v>
      </c>
      <c r="K2">
        <v>16340</v>
      </c>
      <c r="L2" s="8">
        <v>45471</v>
      </c>
      <c r="M2" t="s">
        <v>29</v>
      </c>
      <c r="N2">
        <v>124.381</v>
      </c>
      <c r="O2" s="13">
        <v>3.0300000000000001E-2</v>
      </c>
      <c r="P2">
        <v>27924.13</v>
      </c>
      <c r="Q2" s="13">
        <v>0.58520000000000005</v>
      </c>
      <c r="R2" s="13">
        <v>8.6400000000000005E-2</v>
      </c>
      <c r="S2">
        <v>7.96</v>
      </c>
      <c r="T2">
        <v>9.2799999999999994</v>
      </c>
    </row>
    <row r="3" spans="1:20" x14ac:dyDescent="0.3">
      <c r="A3" t="s">
        <v>36</v>
      </c>
      <c r="B3" t="s">
        <v>37</v>
      </c>
      <c r="C3" t="s">
        <v>38</v>
      </c>
      <c r="D3" s="8">
        <v>37986</v>
      </c>
      <c r="E3" s="8">
        <v>48944</v>
      </c>
      <c r="F3" t="s">
        <v>23</v>
      </c>
      <c r="G3" t="s">
        <v>23</v>
      </c>
      <c r="H3" s="8">
        <v>45657</v>
      </c>
      <c r="I3" t="s">
        <v>41</v>
      </c>
      <c r="J3">
        <v>95</v>
      </c>
      <c r="K3">
        <v>31250</v>
      </c>
      <c r="L3" s="8">
        <v>45471</v>
      </c>
      <c r="M3" t="s">
        <v>44</v>
      </c>
      <c r="N3">
        <v>5.431</v>
      </c>
      <c r="O3" s="13">
        <v>6.2600000000000003E-2</v>
      </c>
      <c r="P3">
        <v>33544.160000000003</v>
      </c>
      <c r="Q3" s="13">
        <v>0.93159999999999998</v>
      </c>
      <c r="R3" s="13">
        <v>7.7200000000000005E-2</v>
      </c>
      <c r="S3">
        <v>3.97</v>
      </c>
      <c r="T3">
        <v>4.66</v>
      </c>
    </row>
    <row r="4" spans="1:20" x14ac:dyDescent="0.3">
      <c r="A4" t="s">
        <v>51</v>
      </c>
      <c r="B4" t="s">
        <v>52</v>
      </c>
      <c r="C4" t="s">
        <v>53</v>
      </c>
      <c r="D4" s="8">
        <v>37986</v>
      </c>
      <c r="E4" s="8">
        <v>53327</v>
      </c>
      <c r="F4" t="s">
        <v>23</v>
      </c>
      <c r="G4" t="s">
        <v>23</v>
      </c>
      <c r="H4" s="8">
        <v>45657</v>
      </c>
      <c r="I4" t="s">
        <v>25</v>
      </c>
      <c r="J4">
        <v>100</v>
      </c>
      <c r="K4">
        <v>20230</v>
      </c>
      <c r="L4" s="8">
        <v>45471</v>
      </c>
      <c r="M4" t="s">
        <v>55</v>
      </c>
      <c r="N4">
        <v>3.5489999999999999</v>
      </c>
      <c r="O4" s="13">
        <v>6.3200000000000006E-2</v>
      </c>
      <c r="P4">
        <v>38606.080000000002</v>
      </c>
      <c r="Q4" s="13">
        <v>0.52400000000000002</v>
      </c>
      <c r="R4" s="13">
        <v>9.0700000000000003E-2</v>
      </c>
      <c r="S4">
        <v>10.51</v>
      </c>
      <c r="T4">
        <v>13.95</v>
      </c>
    </row>
    <row r="5" spans="1:20" hidden="1" x14ac:dyDescent="0.3">
      <c r="A5" t="s">
        <v>62</v>
      </c>
      <c r="B5" t="s">
        <v>63</v>
      </c>
      <c r="C5" t="s">
        <v>64</v>
      </c>
      <c r="E5" s="8">
        <v>49658</v>
      </c>
      <c r="F5" t="s">
        <v>66</v>
      </c>
      <c r="G5" t="s">
        <v>66</v>
      </c>
      <c r="H5" s="8">
        <v>46006</v>
      </c>
      <c r="I5" t="s">
        <v>25</v>
      </c>
      <c r="J5" t="s">
        <v>66</v>
      </c>
      <c r="K5">
        <v>1739.5</v>
      </c>
      <c r="L5" s="8">
        <v>45471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hidden="1" x14ac:dyDescent="0.3">
      <c r="A6" t="s">
        <v>62</v>
      </c>
      <c r="B6" t="s">
        <v>69</v>
      </c>
      <c r="C6" t="s">
        <v>70</v>
      </c>
      <c r="E6" s="8">
        <v>49658</v>
      </c>
      <c r="F6" t="s">
        <v>66</v>
      </c>
      <c r="G6" t="s">
        <v>66</v>
      </c>
      <c r="H6" s="8">
        <v>46006</v>
      </c>
      <c r="I6" t="s">
        <v>25</v>
      </c>
      <c r="J6" t="s">
        <v>66</v>
      </c>
      <c r="K6">
        <v>6.1</v>
      </c>
      <c r="L6" s="8">
        <v>45471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hidden="1" x14ac:dyDescent="0.3">
      <c r="A7" t="s">
        <v>62</v>
      </c>
      <c r="B7" t="s">
        <v>72</v>
      </c>
      <c r="C7" t="s">
        <v>73</v>
      </c>
      <c r="E7" s="8">
        <v>49658</v>
      </c>
      <c r="F7" t="s">
        <v>66</v>
      </c>
      <c r="G7" t="s">
        <v>66</v>
      </c>
      <c r="H7" s="8">
        <v>46006</v>
      </c>
      <c r="I7" t="s">
        <v>25</v>
      </c>
      <c r="J7" t="s">
        <v>66</v>
      </c>
      <c r="K7">
        <v>3200</v>
      </c>
      <c r="L7" s="8">
        <v>45471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</row>
    <row r="8" spans="1:20" hidden="1" x14ac:dyDescent="0.3">
      <c r="A8" t="s">
        <v>62</v>
      </c>
      <c r="B8" t="s">
        <v>75</v>
      </c>
      <c r="C8" t="s">
        <v>76</v>
      </c>
      <c r="E8" s="8">
        <v>49658</v>
      </c>
      <c r="F8" t="s">
        <v>66</v>
      </c>
      <c r="G8" t="s">
        <v>66</v>
      </c>
      <c r="H8" s="8">
        <v>46006</v>
      </c>
      <c r="I8" t="s">
        <v>25</v>
      </c>
      <c r="J8" t="s">
        <v>66</v>
      </c>
      <c r="K8">
        <v>9000</v>
      </c>
      <c r="L8" s="8">
        <v>45471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</row>
    <row r="9" spans="1:20" x14ac:dyDescent="0.3">
      <c r="A9" t="s">
        <v>19</v>
      </c>
      <c r="B9" t="s">
        <v>20</v>
      </c>
      <c r="C9" t="s">
        <v>78</v>
      </c>
      <c r="D9" s="8">
        <v>37986</v>
      </c>
      <c r="E9" s="8">
        <v>50770</v>
      </c>
      <c r="F9" t="s">
        <v>23</v>
      </c>
      <c r="G9" t="s">
        <v>23</v>
      </c>
      <c r="H9" s="8">
        <v>45565</v>
      </c>
      <c r="I9" t="s">
        <v>25</v>
      </c>
      <c r="J9">
        <v>100</v>
      </c>
      <c r="K9">
        <v>16480</v>
      </c>
      <c r="L9" s="8">
        <v>45471</v>
      </c>
      <c r="M9" t="s">
        <v>29</v>
      </c>
      <c r="N9">
        <v>124.381</v>
      </c>
      <c r="O9" s="13">
        <v>3.0099999999999998E-2</v>
      </c>
      <c r="P9">
        <v>27924.13</v>
      </c>
      <c r="Q9" s="13">
        <v>0.59019999999999995</v>
      </c>
      <c r="R9" s="13">
        <v>8.5300000000000001E-2</v>
      </c>
      <c r="S9">
        <v>7.98</v>
      </c>
      <c r="T9">
        <v>9.2799999999999994</v>
      </c>
    </row>
    <row r="10" spans="1:20" x14ac:dyDescent="0.3">
      <c r="A10" t="s">
        <v>36</v>
      </c>
      <c r="B10" t="s">
        <v>37</v>
      </c>
      <c r="C10" t="s">
        <v>84</v>
      </c>
      <c r="D10" s="8">
        <v>37986</v>
      </c>
      <c r="E10" s="8">
        <v>48944</v>
      </c>
      <c r="F10" t="s">
        <v>23</v>
      </c>
      <c r="G10" t="s">
        <v>23</v>
      </c>
      <c r="H10" s="8">
        <v>45657</v>
      </c>
      <c r="I10" t="s">
        <v>41</v>
      </c>
      <c r="J10">
        <v>95</v>
      </c>
      <c r="K10">
        <v>31540</v>
      </c>
      <c r="L10" s="8">
        <v>45471</v>
      </c>
      <c r="M10" t="s">
        <v>44</v>
      </c>
      <c r="N10">
        <v>5.431</v>
      </c>
      <c r="O10" s="13">
        <v>6.2E-2</v>
      </c>
      <c r="P10">
        <v>33544.160000000003</v>
      </c>
      <c r="Q10" s="13">
        <v>0.94030000000000002</v>
      </c>
      <c r="R10" s="13">
        <v>7.4800000000000005E-2</v>
      </c>
      <c r="S10">
        <v>3.99</v>
      </c>
      <c r="T10">
        <v>4.66</v>
      </c>
    </row>
    <row r="11" spans="1:20" hidden="1" x14ac:dyDescent="0.3">
      <c r="A11" t="s">
        <v>62</v>
      </c>
      <c r="B11" t="s">
        <v>90</v>
      </c>
      <c r="C11" t="s">
        <v>91</v>
      </c>
      <c r="E11" s="8">
        <v>49658</v>
      </c>
      <c r="F11" t="s">
        <v>66</v>
      </c>
      <c r="G11" t="s">
        <v>66</v>
      </c>
      <c r="H11" s="8">
        <v>46006</v>
      </c>
      <c r="I11" t="s">
        <v>25</v>
      </c>
      <c r="J11" t="s">
        <v>66</v>
      </c>
      <c r="K11">
        <v>2300</v>
      </c>
      <c r="L11" s="8">
        <v>45471</v>
      </c>
      <c r="M11" t="s">
        <v>66</v>
      </c>
      <c r="N11" t="s">
        <v>66</v>
      </c>
      <c r="O11" t="s">
        <v>66</v>
      </c>
      <c r="P11">
        <v>62.627049999999997</v>
      </c>
      <c r="Q11" s="13">
        <v>2.7400000000000001E-2</v>
      </c>
      <c r="R11" s="13">
        <v>2.8308</v>
      </c>
      <c r="S11">
        <v>0.41</v>
      </c>
      <c r="T11" t="s">
        <v>66</v>
      </c>
    </row>
    <row r="12" spans="1:20" hidden="1" x14ac:dyDescent="0.3">
      <c r="A12" t="s">
        <v>97</v>
      </c>
      <c r="B12" t="s">
        <v>98</v>
      </c>
      <c r="C12" t="s">
        <v>99</v>
      </c>
      <c r="E12" s="8">
        <v>47308</v>
      </c>
      <c r="F12" t="s">
        <v>101</v>
      </c>
      <c r="G12" t="s">
        <v>23</v>
      </c>
      <c r="H12" s="8">
        <v>45482</v>
      </c>
      <c r="I12" t="s">
        <v>25</v>
      </c>
      <c r="J12">
        <v>100</v>
      </c>
      <c r="K12">
        <v>74220</v>
      </c>
      <c r="L12" s="8">
        <v>45471</v>
      </c>
      <c r="M12" t="s">
        <v>104</v>
      </c>
      <c r="N12">
        <v>0.47799999999999998</v>
      </c>
      <c r="O12" s="13">
        <v>0.3508</v>
      </c>
      <c r="P12">
        <v>100.48</v>
      </c>
      <c r="Q12" s="13">
        <v>0.5504</v>
      </c>
      <c r="R12" s="13">
        <v>0.28589999999999999</v>
      </c>
      <c r="S12">
        <v>1.95</v>
      </c>
      <c r="T12">
        <v>2.61</v>
      </c>
    </row>
    <row r="13" spans="1:20" hidden="1" x14ac:dyDescent="0.3">
      <c r="A13" t="s">
        <v>97</v>
      </c>
      <c r="B13" t="s">
        <v>98</v>
      </c>
      <c r="C13" t="s">
        <v>112</v>
      </c>
      <c r="E13" s="8">
        <v>47308</v>
      </c>
      <c r="F13" t="s">
        <v>101</v>
      </c>
      <c r="G13" t="s">
        <v>23</v>
      </c>
      <c r="H13" s="8">
        <v>45482</v>
      </c>
      <c r="I13" t="s">
        <v>25</v>
      </c>
      <c r="J13">
        <v>100</v>
      </c>
      <c r="K13">
        <v>55.7</v>
      </c>
      <c r="L13" s="8">
        <v>45471</v>
      </c>
      <c r="M13" t="s">
        <v>104</v>
      </c>
      <c r="N13">
        <v>0.47799999999999998</v>
      </c>
      <c r="O13" s="13">
        <v>9.1300000000000006E-2</v>
      </c>
      <c r="P13">
        <v>100.48</v>
      </c>
      <c r="Q13" s="13">
        <v>0.5544</v>
      </c>
      <c r="R13" s="13">
        <v>0.28179999999999999</v>
      </c>
      <c r="S13">
        <v>1.96</v>
      </c>
      <c r="T13">
        <v>7.22</v>
      </c>
    </row>
    <row r="14" spans="1:20" hidden="1" x14ac:dyDescent="0.3">
      <c r="A14" t="s">
        <v>97</v>
      </c>
      <c r="B14" t="s">
        <v>119</v>
      </c>
      <c r="C14" t="s">
        <v>120</v>
      </c>
      <c r="E14" s="8">
        <v>47673</v>
      </c>
      <c r="F14" t="s">
        <v>122</v>
      </c>
      <c r="G14" t="s">
        <v>23</v>
      </c>
      <c r="H14" s="8">
        <v>45482</v>
      </c>
      <c r="I14" t="s">
        <v>41</v>
      </c>
      <c r="J14">
        <v>100</v>
      </c>
      <c r="K14">
        <v>74340</v>
      </c>
      <c r="L14" s="8">
        <v>45471</v>
      </c>
      <c r="M14" t="s">
        <v>124</v>
      </c>
      <c r="N14">
        <v>0.35799999999999998</v>
      </c>
      <c r="O14" s="13">
        <v>6.6000000000000003E-2</v>
      </c>
      <c r="P14">
        <v>100.36</v>
      </c>
      <c r="Q14" s="13">
        <v>0.55200000000000005</v>
      </c>
      <c r="R14" s="13">
        <v>0.25440000000000002</v>
      </c>
      <c r="S14">
        <v>2.13</v>
      </c>
      <c r="T14">
        <v>1.17</v>
      </c>
    </row>
    <row r="15" spans="1:20" hidden="1" x14ac:dyDescent="0.3">
      <c r="A15" t="s">
        <v>97</v>
      </c>
      <c r="B15" t="s">
        <v>119</v>
      </c>
      <c r="C15" t="s">
        <v>132</v>
      </c>
      <c r="E15" s="8">
        <v>47673</v>
      </c>
      <c r="F15" t="s">
        <v>122</v>
      </c>
      <c r="G15" t="s">
        <v>23</v>
      </c>
      <c r="H15" s="8">
        <v>45482</v>
      </c>
      <c r="I15" t="s">
        <v>41</v>
      </c>
      <c r="J15">
        <v>100</v>
      </c>
      <c r="K15">
        <v>55.15</v>
      </c>
      <c r="L15" s="8">
        <v>45471</v>
      </c>
      <c r="M15" t="s">
        <v>124</v>
      </c>
      <c r="N15">
        <v>0.35799999999999998</v>
      </c>
      <c r="O15" s="13">
        <v>8.7900000000000006E-2</v>
      </c>
      <c r="P15">
        <v>100.36</v>
      </c>
      <c r="Q15" s="13">
        <v>0.54949999999999999</v>
      </c>
      <c r="R15" s="13">
        <v>0.25669999999999998</v>
      </c>
      <c r="S15">
        <v>2.13</v>
      </c>
      <c r="T15">
        <v>9.1</v>
      </c>
    </row>
    <row r="16" spans="1:20" hidden="1" x14ac:dyDescent="0.3">
      <c r="A16" t="s">
        <v>97</v>
      </c>
      <c r="B16" t="s">
        <v>138</v>
      </c>
      <c r="C16" t="s">
        <v>139</v>
      </c>
      <c r="E16" s="8">
        <v>49499</v>
      </c>
      <c r="F16" t="s">
        <v>101</v>
      </c>
      <c r="G16" t="s">
        <v>23</v>
      </c>
      <c r="H16" s="8">
        <v>45482</v>
      </c>
      <c r="I16" t="s">
        <v>25</v>
      </c>
      <c r="J16">
        <v>100</v>
      </c>
      <c r="K16">
        <v>59430</v>
      </c>
      <c r="L16" s="8">
        <v>45471</v>
      </c>
      <c r="M16" t="s">
        <v>142</v>
      </c>
      <c r="N16">
        <v>1.732</v>
      </c>
      <c r="O16" s="13">
        <v>8.5199999999999998E-2</v>
      </c>
      <c r="P16">
        <v>101.73</v>
      </c>
      <c r="Q16" s="13">
        <v>0.43530000000000002</v>
      </c>
      <c r="R16" s="13">
        <v>0.18579999999999999</v>
      </c>
      <c r="S16">
        <v>5.55</v>
      </c>
      <c r="T16">
        <v>7.58</v>
      </c>
    </row>
    <row r="17" spans="1:20" hidden="1" x14ac:dyDescent="0.3">
      <c r="A17" t="s">
        <v>97</v>
      </c>
      <c r="B17" t="s">
        <v>138</v>
      </c>
      <c r="C17" t="s">
        <v>150</v>
      </c>
      <c r="E17" s="8">
        <v>49499</v>
      </c>
      <c r="F17" t="s">
        <v>101</v>
      </c>
      <c r="G17" t="s">
        <v>23</v>
      </c>
      <c r="H17" s="8">
        <v>45482</v>
      </c>
      <c r="I17" t="s">
        <v>25</v>
      </c>
      <c r="J17">
        <v>100</v>
      </c>
      <c r="K17">
        <v>44.07</v>
      </c>
      <c r="L17" s="8">
        <v>45471</v>
      </c>
      <c r="M17" t="s">
        <v>142</v>
      </c>
      <c r="N17">
        <v>1.732</v>
      </c>
      <c r="O17" s="13">
        <v>8.1699999999999995E-2</v>
      </c>
      <c r="P17">
        <v>101.73</v>
      </c>
      <c r="Q17" s="13">
        <v>0.43319999999999997</v>
      </c>
      <c r="R17" s="13">
        <v>0.18679999999999999</v>
      </c>
      <c r="S17">
        <v>5.54</v>
      </c>
      <c r="T17">
        <v>10.029999999999999</v>
      </c>
    </row>
    <row r="18" spans="1:20" hidden="1" x14ac:dyDescent="0.3">
      <c r="A18" t="s">
        <v>97</v>
      </c>
      <c r="B18" t="s">
        <v>157</v>
      </c>
      <c r="C18" t="s">
        <v>158</v>
      </c>
      <c r="E18" s="8">
        <v>50414</v>
      </c>
      <c r="F18" t="s">
        <v>160</v>
      </c>
      <c r="G18" t="s">
        <v>23</v>
      </c>
      <c r="H18" s="8">
        <v>45482</v>
      </c>
      <c r="I18" t="s">
        <v>25</v>
      </c>
      <c r="J18">
        <v>100</v>
      </c>
      <c r="K18">
        <v>60800</v>
      </c>
      <c r="L18" s="8">
        <v>45471</v>
      </c>
      <c r="M18" t="s">
        <v>162</v>
      </c>
      <c r="N18">
        <v>2.0310000000000001</v>
      </c>
      <c r="O18" s="13">
        <v>1.8200000000000001E-2</v>
      </c>
      <c r="P18">
        <v>102.03</v>
      </c>
      <c r="Q18" s="13">
        <v>0.44400000000000001</v>
      </c>
      <c r="R18" s="13">
        <v>0.2109</v>
      </c>
      <c r="S18">
        <v>4.4400000000000004</v>
      </c>
      <c r="T18">
        <v>2.74</v>
      </c>
    </row>
    <row r="19" spans="1:20" hidden="1" x14ac:dyDescent="0.3">
      <c r="A19" t="s">
        <v>97</v>
      </c>
      <c r="B19" t="s">
        <v>157</v>
      </c>
      <c r="C19" t="s">
        <v>170</v>
      </c>
      <c r="E19" s="8">
        <v>50414</v>
      </c>
      <c r="F19" t="s">
        <v>160</v>
      </c>
      <c r="G19" t="s">
        <v>23</v>
      </c>
      <c r="H19" s="8">
        <v>45482</v>
      </c>
      <c r="I19" t="s">
        <v>25</v>
      </c>
      <c r="J19">
        <v>100</v>
      </c>
      <c r="K19">
        <v>45.3</v>
      </c>
      <c r="L19" s="8">
        <v>45471</v>
      </c>
      <c r="M19" t="s">
        <v>162</v>
      </c>
      <c r="N19">
        <v>2.0310000000000001</v>
      </c>
      <c r="O19" s="13">
        <v>1.8100000000000002E-2</v>
      </c>
      <c r="P19">
        <v>102.03</v>
      </c>
      <c r="Q19" s="13">
        <v>0.44400000000000001</v>
      </c>
      <c r="R19" s="13">
        <v>0.2109</v>
      </c>
      <c r="S19">
        <v>4.4400000000000004</v>
      </c>
      <c r="T19">
        <v>2.74</v>
      </c>
    </row>
    <row r="20" spans="1:20" hidden="1" x14ac:dyDescent="0.3">
      <c r="A20" t="s">
        <v>97</v>
      </c>
      <c r="B20" t="s">
        <v>173</v>
      </c>
      <c r="C20" t="s">
        <v>174</v>
      </c>
      <c r="E20" s="8">
        <v>51691</v>
      </c>
      <c r="F20" t="s">
        <v>176</v>
      </c>
      <c r="G20" t="s">
        <v>23</v>
      </c>
      <c r="H20" s="8">
        <v>45482</v>
      </c>
      <c r="I20" t="s">
        <v>25</v>
      </c>
      <c r="J20">
        <v>100</v>
      </c>
      <c r="K20">
        <v>55380</v>
      </c>
      <c r="L20" s="8">
        <v>45471</v>
      </c>
      <c r="M20" t="s">
        <v>178</v>
      </c>
      <c r="N20">
        <v>1.6719999999999999</v>
      </c>
      <c r="O20" s="13">
        <v>1.3599999999999999E-2</v>
      </c>
      <c r="P20">
        <v>101.67</v>
      </c>
      <c r="Q20" s="13">
        <v>0.40589999999999998</v>
      </c>
      <c r="R20" s="13">
        <v>0.182</v>
      </c>
      <c r="S20">
        <v>5.55</v>
      </c>
      <c r="T20">
        <v>3.13</v>
      </c>
    </row>
    <row r="21" spans="1:20" hidden="1" x14ac:dyDescent="0.3">
      <c r="A21" t="s">
        <v>97</v>
      </c>
      <c r="B21" t="s">
        <v>173</v>
      </c>
      <c r="C21" t="s">
        <v>185</v>
      </c>
      <c r="E21" s="8">
        <v>51691</v>
      </c>
      <c r="F21" t="s">
        <v>176</v>
      </c>
      <c r="G21" t="s">
        <v>23</v>
      </c>
      <c r="H21" s="8">
        <v>45482</v>
      </c>
      <c r="I21" t="s">
        <v>25</v>
      </c>
      <c r="J21">
        <v>100</v>
      </c>
      <c r="K21">
        <v>41.39</v>
      </c>
      <c r="L21" s="8">
        <v>45471</v>
      </c>
      <c r="M21" t="s">
        <v>178</v>
      </c>
      <c r="N21">
        <v>1.6719999999999999</v>
      </c>
      <c r="O21" s="13">
        <v>1.37E-2</v>
      </c>
      <c r="P21">
        <v>101.67</v>
      </c>
      <c r="Q21" s="13">
        <v>0.40710000000000002</v>
      </c>
      <c r="R21" s="13">
        <v>0.18140000000000001</v>
      </c>
      <c r="S21">
        <v>5.56</v>
      </c>
      <c r="T21">
        <v>3.13</v>
      </c>
    </row>
    <row r="22" spans="1:20" hidden="1" x14ac:dyDescent="0.3">
      <c r="A22" t="s">
        <v>191</v>
      </c>
      <c r="B22" t="s">
        <v>192</v>
      </c>
      <c r="C22" t="s">
        <v>193</v>
      </c>
      <c r="E22" s="8">
        <v>47308</v>
      </c>
      <c r="F22" t="s">
        <v>101</v>
      </c>
      <c r="G22" t="s">
        <v>23</v>
      </c>
      <c r="H22" s="8">
        <v>45482</v>
      </c>
      <c r="I22" t="s">
        <v>25</v>
      </c>
      <c r="J22">
        <v>100</v>
      </c>
      <c r="K22">
        <v>77770</v>
      </c>
      <c r="L22" s="8">
        <v>45471</v>
      </c>
      <c r="M22" t="s">
        <v>104</v>
      </c>
      <c r="N22">
        <v>0.47799999999999998</v>
      </c>
      <c r="O22" s="13">
        <v>8.8400000000000006E-2</v>
      </c>
      <c r="P22">
        <v>100.48</v>
      </c>
      <c r="Q22" s="13">
        <v>0.57669999999999999</v>
      </c>
      <c r="R22" s="13">
        <v>0.25950000000000001</v>
      </c>
      <c r="S22">
        <v>2.0099999999999998</v>
      </c>
      <c r="T22">
        <v>9.1</v>
      </c>
    </row>
    <row r="23" spans="1:20" hidden="1" x14ac:dyDescent="0.3">
      <c r="A23" t="s">
        <v>191</v>
      </c>
      <c r="B23" t="s">
        <v>192</v>
      </c>
      <c r="C23" t="s">
        <v>199</v>
      </c>
      <c r="E23" s="8">
        <v>47308</v>
      </c>
      <c r="F23" t="s">
        <v>101</v>
      </c>
      <c r="G23" t="s">
        <v>23</v>
      </c>
      <c r="H23" s="8">
        <v>45482</v>
      </c>
      <c r="I23" t="s">
        <v>25</v>
      </c>
      <c r="J23">
        <v>100</v>
      </c>
      <c r="K23">
        <v>58.14</v>
      </c>
      <c r="L23" s="8">
        <v>45471</v>
      </c>
      <c r="M23" t="s">
        <v>104</v>
      </c>
      <c r="N23">
        <v>0.47799999999999998</v>
      </c>
      <c r="O23" s="13">
        <v>8.5599999999999996E-2</v>
      </c>
      <c r="P23">
        <v>100.48</v>
      </c>
      <c r="Q23" s="13">
        <v>0.5786</v>
      </c>
      <c r="R23" s="13">
        <v>0.25769999999999998</v>
      </c>
      <c r="S23">
        <v>2.0099999999999998</v>
      </c>
      <c r="T23">
        <v>7.58</v>
      </c>
    </row>
    <row r="24" spans="1:20" hidden="1" x14ac:dyDescent="0.3">
      <c r="A24" t="s">
        <v>191</v>
      </c>
      <c r="B24" t="s">
        <v>204</v>
      </c>
      <c r="C24" t="s">
        <v>205</v>
      </c>
      <c r="E24" s="8">
        <v>47673</v>
      </c>
      <c r="F24" t="s">
        <v>122</v>
      </c>
      <c r="G24" t="s">
        <v>23</v>
      </c>
      <c r="H24" s="8">
        <v>45482</v>
      </c>
      <c r="I24" t="s">
        <v>41</v>
      </c>
      <c r="J24">
        <v>100</v>
      </c>
      <c r="K24">
        <v>76540</v>
      </c>
      <c r="L24" s="8">
        <v>45471</v>
      </c>
      <c r="M24" t="s">
        <v>124</v>
      </c>
      <c r="N24">
        <v>0.35799999999999998</v>
      </c>
      <c r="O24" s="13">
        <v>2.0799999999999999E-2</v>
      </c>
      <c r="P24">
        <v>100.36</v>
      </c>
      <c r="Q24" s="13">
        <v>0.56830000000000003</v>
      </c>
      <c r="R24" s="13">
        <v>0.2394</v>
      </c>
      <c r="S24">
        <v>2.1800000000000002</v>
      </c>
      <c r="T24">
        <v>1.35</v>
      </c>
    </row>
    <row r="25" spans="1:20" hidden="1" x14ac:dyDescent="0.3">
      <c r="A25" t="s">
        <v>191</v>
      </c>
      <c r="B25" t="s">
        <v>204</v>
      </c>
      <c r="C25" t="s">
        <v>212</v>
      </c>
      <c r="E25" s="8">
        <v>47673</v>
      </c>
      <c r="F25" t="s">
        <v>122</v>
      </c>
      <c r="G25" t="s">
        <v>23</v>
      </c>
      <c r="H25" s="8">
        <v>45482</v>
      </c>
      <c r="I25" t="s">
        <v>41</v>
      </c>
      <c r="J25">
        <v>100</v>
      </c>
      <c r="K25">
        <v>56.76</v>
      </c>
      <c r="L25" s="8">
        <v>45471</v>
      </c>
      <c r="M25" t="s">
        <v>124</v>
      </c>
      <c r="N25">
        <v>0.35799999999999998</v>
      </c>
      <c r="O25" s="13">
        <v>9.8199999999999996E-2</v>
      </c>
      <c r="P25">
        <v>100.36</v>
      </c>
      <c r="Q25" s="13">
        <v>0.56559999999999999</v>
      </c>
      <c r="R25" s="13">
        <v>0.24179999999999999</v>
      </c>
      <c r="S25">
        <v>2.17</v>
      </c>
      <c r="T25">
        <v>7.22</v>
      </c>
    </row>
    <row r="26" spans="1:20" hidden="1" x14ac:dyDescent="0.3">
      <c r="A26" t="s">
        <v>191</v>
      </c>
      <c r="B26" t="s">
        <v>218</v>
      </c>
      <c r="C26" t="s">
        <v>219</v>
      </c>
      <c r="E26" s="8">
        <v>49499</v>
      </c>
      <c r="F26" t="s">
        <v>101</v>
      </c>
      <c r="G26" t="s">
        <v>23</v>
      </c>
      <c r="H26" s="8">
        <v>45482</v>
      </c>
      <c r="I26" t="s">
        <v>25</v>
      </c>
      <c r="J26">
        <v>100</v>
      </c>
      <c r="K26">
        <v>59400</v>
      </c>
      <c r="L26" s="8">
        <v>45471</v>
      </c>
      <c r="M26" t="s">
        <v>142</v>
      </c>
      <c r="N26">
        <v>1.732</v>
      </c>
      <c r="O26" s="13">
        <v>2.7199999999999998E-2</v>
      </c>
      <c r="P26">
        <v>101.73</v>
      </c>
      <c r="Q26" s="13">
        <v>0.43509999999999999</v>
      </c>
      <c r="R26" s="13">
        <v>0.18590000000000001</v>
      </c>
      <c r="S26">
        <v>5.55</v>
      </c>
      <c r="T26">
        <v>2.3199999999999998</v>
      </c>
    </row>
    <row r="27" spans="1:20" hidden="1" x14ac:dyDescent="0.3">
      <c r="A27" t="s">
        <v>191</v>
      </c>
      <c r="B27" t="s">
        <v>218</v>
      </c>
      <c r="C27" t="s">
        <v>225</v>
      </c>
      <c r="E27" s="8">
        <v>49499</v>
      </c>
      <c r="F27" t="s">
        <v>101</v>
      </c>
      <c r="G27" t="s">
        <v>23</v>
      </c>
      <c r="H27" s="8">
        <v>45482</v>
      </c>
      <c r="I27" t="s">
        <v>25</v>
      </c>
      <c r="J27">
        <v>100</v>
      </c>
      <c r="K27">
        <v>44.1</v>
      </c>
      <c r="L27" s="8">
        <v>45471</v>
      </c>
      <c r="M27" t="s">
        <v>142</v>
      </c>
      <c r="N27">
        <v>1.732</v>
      </c>
      <c r="O27" s="13">
        <v>8.8099999999999998E-2</v>
      </c>
      <c r="P27">
        <v>101.73</v>
      </c>
      <c r="Q27" s="13">
        <v>0.4335</v>
      </c>
      <c r="R27" s="13">
        <v>0.18659999999999999</v>
      </c>
      <c r="S27">
        <v>5.54</v>
      </c>
      <c r="T27">
        <v>9.1</v>
      </c>
    </row>
    <row r="28" spans="1:20" hidden="1" x14ac:dyDescent="0.3">
      <c r="A28" t="s">
        <v>191</v>
      </c>
      <c r="B28" t="s">
        <v>230</v>
      </c>
      <c r="C28" t="s">
        <v>231</v>
      </c>
      <c r="E28" s="8">
        <v>50414</v>
      </c>
      <c r="F28" t="s">
        <v>160</v>
      </c>
      <c r="G28" t="s">
        <v>23</v>
      </c>
      <c r="H28" s="8">
        <v>45482</v>
      </c>
      <c r="I28" t="s">
        <v>25</v>
      </c>
      <c r="J28">
        <v>100</v>
      </c>
      <c r="K28">
        <v>65190</v>
      </c>
      <c r="L28" s="8">
        <v>45471</v>
      </c>
      <c r="M28" t="s">
        <v>162</v>
      </c>
      <c r="N28">
        <v>2.0310000000000001</v>
      </c>
      <c r="O28" s="13">
        <v>1.7399999999999999E-2</v>
      </c>
      <c r="P28">
        <v>102.03</v>
      </c>
      <c r="Q28" s="13">
        <v>0.47610000000000002</v>
      </c>
      <c r="R28" s="13">
        <v>0.19400000000000001</v>
      </c>
      <c r="S28">
        <v>4.6100000000000003</v>
      </c>
      <c r="T28">
        <v>2.74</v>
      </c>
    </row>
    <row r="29" spans="1:20" hidden="1" x14ac:dyDescent="0.3">
      <c r="A29" t="s">
        <v>191</v>
      </c>
      <c r="B29" t="s">
        <v>230</v>
      </c>
      <c r="C29" t="s">
        <v>237</v>
      </c>
      <c r="E29" s="8">
        <v>50414</v>
      </c>
      <c r="F29" t="s">
        <v>160</v>
      </c>
      <c r="G29" t="s">
        <v>23</v>
      </c>
      <c r="H29" s="8">
        <v>45482</v>
      </c>
      <c r="I29" t="s">
        <v>25</v>
      </c>
      <c r="J29">
        <v>100</v>
      </c>
      <c r="K29">
        <v>48</v>
      </c>
      <c r="L29" s="8">
        <v>45471</v>
      </c>
      <c r="M29" t="s">
        <v>162</v>
      </c>
      <c r="N29">
        <v>2.0310000000000001</v>
      </c>
      <c r="O29" s="13">
        <v>1.7299999999999999E-2</v>
      </c>
      <c r="P29">
        <v>102.03</v>
      </c>
      <c r="Q29" s="13">
        <v>0.47039999999999998</v>
      </c>
      <c r="R29" s="13">
        <v>0.19689999999999999</v>
      </c>
      <c r="S29">
        <v>4.58</v>
      </c>
      <c r="T29">
        <v>2.74</v>
      </c>
    </row>
    <row r="30" spans="1:20" hidden="1" x14ac:dyDescent="0.3">
      <c r="A30" t="s">
        <v>191</v>
      </c>
      <c r="B30" t="s">
        <v>243</v>
      </c>
      <c r="C30" t="s">
        <v>244</v>
      </c>
      <c r="E30" s="8">
        <v>51691</v>
      </c>
      <c r="F30" t="s">
        <v>176</v>
      </c>
      <c r="G30" t="s">
        <v>23</v>
      </c>
      <c r="H30" s="8">
        <v>45482</v>
      </c>
      <c r="I30" t="s">
        <v>25</v>
      </c>
      <c r="J30">
        <v>100</v>
      </c>
      <c r="K30">
        <v>55710</v>
      </c>
      <c r="L30" s="8">
        <v>45471</v>
      </c>
      <c r="M30" t="s">
        <v>178</v>
      </c>
      <c r="N30">
        <v>1.6719999999999999</v>
      </c>
      <c r="O30" s="13">
        <v>1.32E-2</v>
      </c>
      <c r="P30">
        <v>101.67</v>
      </c>
      <c r="Q30" s="13">
        <v>0.4083</v>
      </c>
      <c r="R30" s="13">
        <v>0.18079999999999999</v>
      </c>
      <c r="S30">
        <v>5.56</v>
      </c>
      <c r="T30">
        <v>3.13</v>
      </c>
    </row>
    <row r="31" spans="1:20" hidden="1" x14ac:dyDescent="0.3">
      <c r="A31" t="s">
        <v>191</v>
      </c>
      <c r="B31" t="s">
        <v>243</v>
      </c>
      <c r="C31" t="s">
        <v>249</v>
      </c>
      <c r="E31" s="8">
        <v>51691</v>
      </c>
      <c r="F31" t="s">
        <v>176</v>
      </c>
      <c r="G31" t="s">
        <v>23</v>
      </c>
      <c r="H31" s="8">
        <v>45482</v>
      </c>
      <c r="I31" t="s">
        <v>25</v>
      </c>
      <c r="J31">
        <v>100</v>
      </c>
      <c r="K31">
        <v>40.5</v>
      </c>
      <c r="L31" s="8">
        <v>45471</v>
      </c>
      <c r="M31" t="s">
        <v>178</v>
      </c>
      <c r="N31">
        <v>1.6719999999999999</v>
      </c>
      <c r="O31" s="13">
        <v>1.3299999999999999E-2</v>
      </c>
      <c r="P31">
        <v>101.67</v>
      </c>
      <c r="Q31" s="13">
        <v>0.39829999999999999</v>
      </c>
      <c r="R31" s="13">
        <v>0.1857</v>
      </c>
      <c r="S31">
        <v>5.49</v>
      </c>
      <c r="T31">
        <v>3.13</v>
      </c>
    </row>
    <row r="32" spans="1:20" hidden="1" x14ac:dyDescent="0.3">
      <c r="A32" t="s">
        <v>191</v>
      </c>
      <c r="B32" t="s">
        <v>255</v>
      </c>
      <c r="C32" t="s">
        <v>256</v>
      </c>
      <c r="E32" s="8">
        <v>53517</v>
      </c>
      <c r="F32" t="s">
        <v>258</v>
      </c>
      <c r="G32" t="s">
        <v>23</v>
      </c>
      <c r="H32" s="8">
        <v>45482</v>
      </c>
      <c r="I32" t="s">
        <v>25</v>
      </c>
      <c r="J32">
        <v>100</v>
      </c>
      <c r="K32">
        <v>61890</v>
      </c>
      <c r="L32" s="8">
        <v>45471</v>
      </c>
      <c r="M32" t="s">
        <v>142</v>
      </c>
      <c r="N32">
        <v>1.732</v>
      </c>
      <c r="O32" s="13">
        <v>8.5199999999999998E-2</v>
      </c>
      <c r="P32">
        <v>101.73</v>
      </c>
      <c r="Q32" s="13">
        <v>0.45329999999999998</v>
      </c>
      <c r="R32" s="13">
        <v>0.18260000000000001</v>
      </c>
      <c r="S32">
        <v>4.59</v>
      </c>
      <c r="T32">
        <v>7.58</v>
      </c>
    </row>
    <row r="33" spans="1:20" hidden="1" x14ac:dyDescent="0.3">
      <c r="A33" t="s">
        <v>263</v>
      </c>
      <c r="B33" t="s">
        <v>264</v>
      </c>
      <c r="C33" t="s">
        <v>265</v>
      </c>
      <c r="E33" s="8">
        <v>46312</v>
      </c>
      <c r="F33" t="s">
        <v>267</v>
      </c>
      <c r="G33" t="s">
        <v>23</v>
      </c>
      <c r="H33" s="8">
        <v>45582</v>
      </c>
      <c r="I33" t="s">
        <v>25</v>
      </c>
      <c r="J33">
        <v>100</v>
      </c>
      <c r="K33">
        <v>63.75</v>
      </c>
      <c r="L33" s="8">
        <v>45471</v>
      </c>
      <c r="M33" t="s">
        <v>270</v>
      </c>
      <c r="N33">
        <v>3.1859999999999999</v>
      </c>
      <c r="O33" s="13">
        <v>8.3699999999999997E-2</v>
      </c>
      <c r="P33">
        <v>103.19</v>
      </c>
      <c r="Q33" s="13">
        <v>0.61780000000000002</v>
      </c>
      <c r="R33" s="13">
        <v>0.49349999999999999</v>
      </c>
      <c r="S33">
        <v>1.48</v>
      </c>
      <c r="T33">
        <v>1.02</v>
      </c>
    </row>
    <row r="34" spans="1:20" x14ac:dyDescent="0.3">
      <c r="A34" t="s">
        <v>278</v>
      </c>
      <c r="B34" t="s">
        <v>279</v>
      </c>
      <c r="C34" t="s">
        <v>280</v>
      </c>
      <c r="D34" s="8">
        <v>45199</v>
      </c>
      <c r="E34" s="8">
        <v>45495</v>
      </c>
      <c r="F34" t="s">
        <v>267</v>
      </c>
      <c r="G34" t="s">
        <v>23</v>
      </c>
      <c r="H34" s="8">
        <v>45639</v>
      </c>
      <c r="I34" t="s">
        <v>41</v>
      </c>
      <c r="J34">
        <v>100</v>
      </c>
      <c r="K34">
        <v>411</v>
      </c>
      <c r="L34" s="8">
        <v>45471</v>
      </c>
      <c r="M34" t="s">
        <v>162</v>
      </c>
      <c r="N34">
        <v>0.85899999999999999</v>
      </c>
      <c r="O34" s="13">
        <v>4.19E-2</v>
      </c>
      <c r="P34">
        <v>405.22</v>
      </c>
      <c r="Q34" s="13">
        <v>1.0143</v>
      </c>
      <c r="R34" s="13">
        <v>1.06E-2</v>
      </c>
      <c r="S34">
        <v>0.46</v>
      </c>
      <c r="T34">
        <v>0.45</v>
      </c>
    </row>
    <row r="35" spans="1:20" x14ac:dyDescent="0.3">
      <c r="A35" t="s">
        <v>278</v>
      </c>
      <c r="B35" t="s">
        <v>290</v>
      </c>
      <c r="C35" t="s">
        <v>291</v>
      </c>
      <c r="D35" s="8">
        <v>45348</v>
      </c>
      <c r="E35" s="8">
        <v>45499</v>
      </c>
      <c r="F35" t="s">
        <v>267</v>
      </c>
      <c r="G35" t="s">
        <v>23</v>
      </c>
      <c r="H35" s="8">
        <v>45499</v>
      </c>
      <c r="I35" t="s">
        <v>41</v>
      </c>
      <c r="J35">
        <v>100</v>
      </c>
      <c r="K35">
        <v>1543</v>
      </c>
      <c r="L35" s="8">
        <v>45471</v>
      </c>
      <c r="M35" t="s">
        <v>294</v>
      </c>
      <c r="N35">
        <v>10.090999999999999</v>
      </c>
      <c r="O35" s="13">
        <v>1.5299999999999999E-2</v>
      </c>
      <c r="P35">
        <v>1522.21</v>
      </c>
      <c r="Q35" s="13">
        <v>1.0137</v>
      </c>
      <c r="R35" s="13">
        <v>-0.1668</v>
      </c>
      <c r="S35">
        <v>7.0000000000000007E-2</v>
      </c>
      <c r="T35">
        <v>7.0000000000000007E-2</v>
      </c>
    </row>
    <row r="36" spans="1:20" hidden="1" x14ac:dyDescent="0.3">
      <c r="A36" t="s">
        <v>278</v>
      </c>
      <c r="B36" t="s">
        <v>301</v>
      </c>
      <c r="C36" t="s">
        <v>302</v>
      </c>
      <c r="E36" s="8">
        <v>45579</v>
      </c>
      <c r="F36" t="s">
        <v>267</v>
      </c>
      <c r="G36" t="s">
        <v>23</v>
      </c>
      <c r="H36" s="8">
        <v>45579</v>
      </c>
      <c r="I36" t="s">
        <v>41</v>
      </c>
      <c r="J36">
        <v>100</v>
      </c>
      <c r="K36">
        <v>510.2</v>
      </c>
      <c r="L36" s="8">
        <v>45471</v>
      </c>
      <c r="M36" t="s">
        <v>305</v>
      </c>
      <c r="N36">
        <v>4.2610000000000001</v>
      </c>
      <c r="O36" s="13">
        <v>3.9399999999999998E-2</v>
      </c>
      <c r="P36">
        <v>502.29</v>
      </c>
      <c r="Q36" s="13">
        <v>1.0158</v>
      </c>
      <c r="R36" s="13">
        <v>-1.4999999999999999E-2</v>
      </c>
      <c r="S36">
        <v>0.28999999999999998</v>
      </c>
      <c r="T36">
        <v>0.28999999999999998</v>
      </c>
    </row>
    <row r="37" spans="1:20" x14ac:dyDescent="0.3">
      <c r="A37" t="s">
        <v>278</v>
      </c>
      <c r="B37" t="s">
        <v>312</v>
      </c>
      <c r="C37" t="s">
        <v>313</v>
      </c>
      <c r="D37" s="8">
        <v>44971</v>
      </c>
      <c r="E37" s="8">
        <v>45702</v>
      </c>
      <c r="F37" t="s">
        <v>267</v>
      </c>
      <c r="G37" t="s">
        <v>23</v>
      </c>
      <c r="H37" s="8">
        <v>45518</v>
      </c>
      <c r="I37" t="s">
        <v>25</v>
      </c>
      <c r="J37">
        <v>100</v>
      </c>
      <c r="K37">
        <v>509.6</v>
      </c>
      <c r="L37" s="8">
        <v>45471</v>
      </c>
      <c r="M37" t="s">
        <v>162</v>
      </c>
      <c r="N37">
        <v>8.0549999999999997</v>
      </c>
      <c r="O37" s="13">
        <v>4.2200000000000001E-2</v>
      </c>
      <c r="P37">
        <v>506.08</v>
      </c>
      <c r="Q37" s="13">
        <v>1.0069999999999999</v>
      </c>
      <c r="R37" s="13">
        <v>3.0800000000000001E-2</v>
      </c>
      <c r="S37">
        <v>0.6</v>
      </c>
      <c r="T37">
        <v>0.61</v>
      </c>
    </row>
    <row r="38" spans="1:20" x14ac:dyDescent="0.3">
      <c r="A38" t="s">
        <v>278</v>
      </c>
      <c r="B38" t="s">
        <v>323</v>
      </c>
      <c r="C38" t="s">
        <v>324</v>
      </c>
      <c r="D38" s="8">
        <v>43217</v>
      </c>
      <c r="E38" s="8">
        <v>45774</v>
      </c>
      <c r="F38" t="s">
        <v>267</v>
      </c>
      <c r="G38" t="s">
        <v>23</v>
      </c>
      <c r="H38" s="8">
        <v>45592</v>
      </c>
      <c r="I38" t="s">
        <v>25</v>
      </c>
      <c r="J38">
        <v>100</v>
      </c>
      <c r="K38">
        <v>4520</v>
      </c>
      <c r="L38" s="8">
        <v>45471</v>
      </c>
      <c r="M38" t="s">
        <v>305</v>
      </c>
      <c r="N38">
        <v>31.742999999999999</v>
      </c>
      <c r="O38" s="13">
        <v>3.9800000000000002E-2</v>
      </c>
      <c r="P38">
        <v>4495.54</v>
      </c>
      <c r="Q38" s="13">
        <v>1.0054000000000001</v>
      </c>
      <c r="R38" s="13">
        <v>3.3399999999999999E-2</v>
      </c>
      <c r="S38">
        <v>0.8</v>
      </c>
      <c r="T38">
        <v>0.81</v>
      </c>
    </row>
    <row r="39" spans="1:20" x14ac:dyDescent="0.3">
      <c r="A39" t="s">
        <v>278</v>
      </c>
      <c r="B39" t="s">
        <v>334</v>
      </c>
      <c r="C39" t="s">
        <v>335</v>
      </c>
      <c r="D39" s="8">
        <v>45800</v>
      </c>
      <c r="E39" s="8">
        <v>45970</v>
      </c>
      <c r="F39" t="s">
        <v>267</v>
      </c>
      <c r="G39" t="s">
        <v>23</v>
      </c>
      <c r="H39" s="8">
        <v>45605</v>
      </c>
      <c r="I39" t="s">
        <v>25</v>
      </c>
      <c r="J39">
        <v>100</v>
      </c>
      <c r="K39">
        <v>850</v>
      </c>
      <c r="L39" s="8">
        <v>45471</v>
      </c>
      <c r="M39" t="s">
        <v>338</v>
      </c>
      <c r="N39">
        <v>2.2759999999999998</v>
      </c>
      <c r="O39" s="13">
        <v>1.8599999999999998E-2</v>
      </c>
      <c r="P39">
        <v>877.69</v>
      </c>
      <c r="Q39" s="13">
        <v>0.96850000000000003</v>
      </c>
      <c r="R39" s="13">
        <v>4.2599999999999999E-2</v>
      </c>
      <c r="S39">
        <v>1.32</v>
      </c>
      <c r="T39">
        <v>1.35</v>
      </c>
    </row>
    <row r="40" spans="1:20" x14ac:dyDescent="0.3">
      <c r="A40" t="s">
        <v>278</v>
      </c>
      <c r="B40" t="s">
        <v>345</v>
      </c>
      <c r="C40" t="s">
        <v>346</v>
      </c>
      <c r="D40" s="8">
        <v>44078</v>
      </c>
      <c r="E40" s="8">
        <v>46335</v>
      </c>
      <c r="F40" t="s">
        <v>347</v>
      </c>
      <c r="G40" t="s">
        <v>23</v>
      </c>
      <c r="H40" s="8">
        <v>45605</v>
      </c>
      <c r="I40" t="s">
        <v>41</v>
      </c>
      <c r="J40">
        <v>100</v>
      </c>
      <c r="K40">
        <v>1729</v>
      </c>
      <c r="L40" s="8">
        <v>45471</v>
      </c>
      <c r="M40" t="s">
        <v>349</v>
      </c>
      <c r="N40">
        <v>5.1840000000000002</v>
      </c>
      <c r="O40" s="13">
        <v>2.0799999999999999E-2</v>
      </c>
      <c r="P40">
        <v>1799.52</v>
      </c>
      <c r="Q40" s="13">
        <v>0.96079999999999999</v>
      </c>
      <c r="R40" s="13">
        <v>5.1200000000000002E-2</v>
      </c>
      <c r="S40">
        <v>1.29</v>
      </c>
      <c r="T40">
        <v>1.35</v>
      </c>
    </row>
    <row r="41" spans="1:20" x14ac:dyDescent="0.3">
      <c r="A41" t="s">
        <v>278</v>
      </c>
      <c r="B41" t="s">
        <v>355</v>
      </c>
      <c r="C41" t="s">
        <v>356</v>
      </c>
      <c r="D41" s="8">
        <v>44077</v>
      </c>
      <c r="E41" s="8">
        <v>47066</v>
      </c>
      <c r="F41" t="s">
        <v>101</v>
      </c>
      <c r="G41" t="s">
        <v>23</v>
      </c>
      <c r="H41" s="8">
        <v>45605</v>
      </c>
      <c r="I41" t="s">
        <v>41</v>
      </c>
      <c r="J41">
        <v>90</v>
      </c>
      <c r="K41">
        <v>1488</v>
      </c>
      <c r="L41" s="8">
        <v>45471</v>
      </c>
      <c r="M41" t="s">
        <v>359</v>
      </c>
      <c r="N41">
        <v>5.2480000000000002</v>
      </c>
      <c r="O41" s="13">
        <v>2.7199999999999998E-2</v>
      </c>
      <c r="P41">
        <v>1799.58</v>
      </c>
      <c r="Q41" s="13">
        <v>0.82689999999999997</v>
      </c>
      <c r="R41" s="13">
        <v>6.1899999999999997E-2</v>
      </c>
      <c r="S41">
        <v>2.16</v>
      </c>
      <c r="T41">
        <v>2.3199999999999998</v>
      </c>
    </row>
    <row r="42" spans="1:20" hidden="1" x14ac:dyDescent="0.3">
      <c r="A42" t="s">
        <v>278</v>
      </c>
      <c r="B42" t="s">
        <v>365</v>
      </c>
      <c r="C42" t="s">
        <v>366</v>
      </c>
      <c r="E42" s="8">
        <v>48182</v>
      </c>
      <c r="F42" t="s">
        <v>101</v>
      </c>
      <c r="G42" t="s">
        <v>23</v>
      </c>
      <c r="H42" s="8">
        <v>45626</v>
      </c>
      <c r="I42" t="s">
        <v>25</v>
      </c>
      <c r="J42">
        <v>100</v>
      </c>
      <c r="K42">
        <v>667.9</v>
      </c>
      <c r="L42" s="8">
        <v>45471</v>
      </c>
      <c r="M42" t="s">
        <v>369</v>
      </c>
      <c r="N42">
        <v>1.8560000000000001</v>
      </c>
      <c r="O42" s="13">
        <v>3.2399999999999998E-2</v>
      </c>
      <c r="P42">
        <v>864.12</v>
      </c>
      <c r="Q42" s="13">
        <v>0.77290000000000003</v>
      </c>
      <c r="R42" s="13">
        <v>8.2000000000000003E-2</v>
      </c>
      <c r="S42">
        <v>4.51</v>
      </c>
      <c r="T42">
        <v>4.91</v>
      </c>
    </row>
    <row r="43" spans="1:20" x14ac:dyDescent="0.3">
      <c r="A43" t="s">
        <v>377</v>
      </c>
      <c r="B43" t="s">
        <v>378</v>
      </c>
      <c r="C43" t="s">
        <v>379</v>
      </c>
      <c r="D43" s="8">
        <v>45323</v>
      </c>
      <c r="E43" s="8">
        <v>45838</v>
      </c>
      <c r="F43" t="s">
        <v>267</v>
      </c>
      <c r="G43" t="s">
        <v>66</v>
      </c>
      <c r="H43" s="8">
        <v>45838</v>
      </c>
      <c r="I43" t="s">
        <v>381</v>
      </c>
      <c r="J43">
        <v>100</v>
      </c>
      <c r="K43">
        <v>158.69999999999999</v>
      </c>
      <c r="L43" s="8">
        <v>45471</v>
      </c>
      <c r="M43" t="s">
        <v>383</v>
      </c>
      <c r="N43" t="s">
        <v>66</v>
      </c>
      <c r="O43" t="s">
        <v>66</v>
      </c>
      <c r="P43">
        <v>100</v>
      </c>
      <c r="Q43" s="13">
        <v>1.587</v>
      </c>
      <c r="R43" s="13">
        <v>4.3799999999999999E-2</v>
      </c>
      <c r="S43">
        <v>0.98</v>
      </c>
      <c r="T43">
        <v>1</v>
      </c>
    </row>
    <row r="44" spans="1:20" x14ac:dyDescent="0.3">
      <c r="A44" t="s">
        <v>377</v>
      </c>
      <c r="B44" t="s">
        <v>378</v>
      </c>
      <c r="C44" t="s">
        <v>388</v>
      </c>
      <c r="D44" s="8">
        <v>45323</v>
      </c>
      <c r="E44" s="8">
        <v>46203</v>
      </c>
      <c r="F44" t="s">
        <v>267</v>
      </c>
      <c r="G44" t="s">
        <v>66</v>
      </c>
      <c r="H44" s="8">
        <v>46203</v>
      </c>
      <c r="I44" t="s">
        <v>381</v>
      </c>
      <c r="J44">
        <v>100</v>
      </c>
      <c r="K44">
        <v>181.75</v>
      </c>
      <c r="L44" s="8">
        <v>45471</v>
      </c>
      <c r="M44" t="s">
        <v>383</v>
      </c>
      <c r="N44" t="s">
        <v>66</v>
      </c>
      <c r="O44" t="s">
        <v>66</v>
      </c>
      <c r="P44">
        <v>100</v>
      </c>
      <c r="Q44" s="13">
        <v>1.8174999999999999</v>
      </c>
      <c r="R44" s="13">
        <v>5.3999999999999999E-2</v>
      </c>
      <c r="S44">
        <v>1.94</v>
      </c>
      <c r="T44">
        <v>2</v>
      </c>
    </row>
    <row r="45" spans="1:20" x14ac:dyDescent="0.3">
      <c r="A45" t="s">
        <v>377</v>
      </c>
      <c r="B45" t="s">
        <v>378</v>
      </c>
      <c r="C45" t="s">
        <v>395</v>
      </c>
      <c r="D45" s="8">
        <v>45323</v>
      </c>
      <c r="E45" s="8">
        <v>46568</v>
      </c>
      <c r="F45" t="s">
        <v>267</v>
      </c>
      <c r="G45" t="s">
        <v>66</v>
      </c>
      <c r="H45" s="8">
        <v>46568</v>
      </c>
      <c r="I45" t="s">
        <v>381</v>
      </c>
      <c r="J45">
        <v>100</v>
      </c>
      <c r="K45">
        <v>170</v>
      </c>
      <c r="L45" s="8">
        <v>45471</v>
      </c>
      <c r="M45" t="s">
        <v>383</v>
      </c>
      <c r="N45" t="s">
        <v>66</v>
      </c>
      <c r="O45" t="s">
        <v>66</v>
      </c>
      <c r="P45">
        <v>100</v>
      </c>
      <c r="Q45" s="13">
        <v>1.7</v>
      </c>
      <c r="R45" s="13">
        <v>5.8999999999999997E-2</v>
      </c>
      <c r="S45">
        <v>2.91</v>
      </c>
      <c r="T45">
        <v>3</v>
      </c>
    </row>
    <row r="46" spans="1:20" x14ac:dyDescent="0.3">
      <c r="A46" t="s">
        <v>377</v>
      </c>
      <c r="B46" t="s">
        <v>378</v>
      </c>
      <c r="C46" t="s">
        <v>402</v>
      </c>
      <c r="D46" s="8">
        <v>45323</v>
      </c>
      <c r="E46" s="8">
        <v>46934</v>
      </c>
      <c r="F46" t="s">
        <v>267</v>
      </c>
      <c r="G46" t="s">
        <v>66</v>
      </c>
      <c r="H46" s="8">
        <v>46934</v>
      </c>
      <c r="I46" t="s">
        <v>381</v>
      </c>
      <c r="J46">
        <v>100</v>
      </c>
      <c r="K46">
        <v>148</v>
      </c>
      <c r="L46" s="8">
        <v>45471</v>
      </c>
      <c r="M46" t="s">
        <v>383</v>
      </c>
      <c r="N46" t="s">
        <v>66</v>
      </c>
      <c r="O46" t="s">
        <v>66</v>
      </c>
      <c r="P46">
        <v>201.87</v>
      </c>
      <c r="Q46" s="13">
        <v>0.73319999999999996</v>
      </c>
      <c r="R46" s="13">
        <v>8.0699999999999994E-2</v>
      </c>
      <c r="S46">
        <v>3.84</v>
      </c>
      <c r="T46">
        <v>4</v>
      </c>
    </row>
    <row r="47" spans="1:20" x14ac:dyDescent="0.3">
      <c r="A47" t="s">
        <v>377</v>
      </c>
      <c r="B47" t="s">
        <v>378</v>
      </c>
      <c r="C47" t="s">
        <v>410</v>
      </c>
      <c r="D47" s="8">
        <v>45323</v>
      </c>
      <c r="E47" s="8">
        <v>46006</v>
      </c>
      <c r="F47" t="s">
        <v>267</v>
      </c>
      <c r="G47" t="s">
        <v>66</v>
      </c>
      <c r="H47" s="8">
        <v>46006</v>
      </c>
      <c r="I47" t="s">
        <v>381</v>
      </c>
      <c r="J47">
        <v>100</v>
      </c>
      <c r="K47">
        <v>136.75</v>
      </c>
      <c r="L47" s="8">
        <v>45471</v>
      </c>
      <c r="M47" t="s">
        <v>383</v>
      </c>
      <c r="N47" t="s">
        <v>66</v>
      </c>
      <c r="O47" t="s">
        <v>66</v>
      </c>
      <c r="P47">
        <v>150.06</v>
      </c>
      <c r="Q47" s="13">
        <v>0.9113</v>
      </c>
      <c r="R47" s="13">
        <v>6.59E-2</v>
      </c>
      <c r="S47">
        <v>1.41</v>
      </c>
      <c r="T47">
        <v>1.75</v>
      </c>
    </row>
    <row r="48" spans="1:20" x14ac:dyDescent="0.3">
      <c r="A48" t="s">
        <v>377</v>
      </c>
      <c r="B48" t="s">
        <v>378</v>
      </c>
      <c r="C48" t="s">
        <v>417</v>
      </c>
      <c r="D48" s="8">
        <v>45366</v>
      </c>
      <c r="E48" s="8">
        <v>46371</v>
      </c>
      <c r="F48" t="s">
        <v>267</v>
      </c>
      <c r="G48" t="s">
        <v>66</v>
      </c>
      <c r="H48" s="8">
        <v>46371</v>
      </c>
      <c r="I48" t="s">
        <v>381</v>
      </c>
      <c r="J48">
        <v>100</v>
      </c>
      <c r="K48">
        <v>128</v>
      </c>
      <c r="L48" s="8">
        <v>45471</v>
      </c>
      <c r="M48" t="s">
        <v>383</v>
      </c>
      <c r="N48" t="s">
        <v>66</v>
      </c>
      <c r="O48" t="s">
        <v>66</v>
      </c>
      <c r="P48">
        <v>149.24</v>
      </c>
      <c r="Q48" s="13">
        <v>0.85770000000000002</v>
      </c>
      <c r="R48" s="13">
        <v>6.4500000000000002E-2</v>
      </c>
      <c r="S48">
        <v>2.38</v>
      </c>
      <c r="T48">
        <v>2.46</v>
      </c>
    </row>
    <row r="49" spans="1:20" x14ac:dyDescent="0.3">
      <c r="A49" t="s">
        <v>377</v>
      </c>
      <c r="B49" t="s">
        <v>378</v>
      </c>
      <c r="C49" t="s">
        <v>425</v>
      </c>
      <c r="D49" s="8">
        <v>45366</v>
      </c>
      <c r="E49" s="8">
        <v>46736</v>
      </c>
      <c r="F49" t="s">
        <v>267</v>
      </c>
      <c r="G49" t="s">
        <v>66</v>
      </c>
      <c r="H49" s="8">
        <v>46736</v>
      </c>
      <c r="I49" t="s">
        <v>381</v>
      </c>
      <c r="J49">
        <v>100</v>
      </c>
      <c r="K49">
        <v>115.5</v>
      </c>
      <c r="L49" s="8">
        <v>45471</v>
      </c>
      <c r="M49" t="s">
        <v>383</v>
      </c>
      <c r="N49" t="s">
        <v>66</v>
      </c>
      <c r="O49" t="s">
        <v>66</v>
      </c>
      <c r="P49">
        <v>149.24</v>
      </c>
      <c r="Q49" s="13">
        <v>0.77390000000000003</v>
      </c>
      <c r="R49" s="13">
        <v>7.6899999999999996E-2</v>
      </c>
      <c r="S49">
        <v>3.33</v>
      </c>
      <c r="T49">
        <v>3.46</v>
      </c>
    </row>
    <row r="50" spans="1:20" x14ac:dyDescent="0.3">
      <c r="A50" t="s">
        <v>377</v>
      </c>
      <c r="B50" t="s">
        <v>378</v>
      </c>
      <c r="C50" t="s">
        <v>432</v>
      </c>
      <c r="D50" s="19">
        <v>45412</v>
      </c>
      <c r="E50" s="8">
        <v>46112</v>
      </c>
      <c r="F50" t="s">
        <v>267</v>
      </c>
      <c r="G50" t="s">
        <v>66</v>
      </c>
      <c r="H50" s="8">
        <v>46112</v>
      </c>
      <c r="I50" t="s">
        <v>381</v>
      </c>
      <c r="J50">
        <v>100</v>
      </c>
      <c r="K50">
        <v>109.5</v>
      </c>
      <c r="L50" s="8">
        <v>45471</v>
      </c>
      <c r="M50" t="s">
        <v>383</v>
      </c>
      <c r="N50" t="s">
        <v>66</v>
      </c>
      <c r="O50" t="s">
        <v>66</v>
      </c>
      <c r="P50">
        <v>120.02</v>
      </c>
      <c r="Q50" s="13">
        <v>0.9123</v>
      </c>
      <c r="R50" s="13">
        <v>5.3900000000000003E-2</v>
      </c>
      <c r="S50">
        <v>1.7</v>
      </c>
      <c r="T50">
        <v>1.75</v>
      </c>
    </row>
    <row r="51" spans="1:20" hidden="1" x14ac:dyDescent="0.3">
      <c r="A51" t="s">
        <v>439</v>
      </c>
      <c r="B51" t="s">
        <v>440</v>
      </c>
      <c r="C51" t="s">
        <v>441</v>
      </c>
      <c r="E51" s="8">
        <v>45534</v>
      </c>
      <c r="F51" t="s">
        <v>267</v>
      </c>
      <c r="G51" t="s">
        <v>66</v>
      </c>
      <c r="H51" s="8">
        <v>45534</v>
      </c>
      <c r="I51" t="s">
        <v>41</v>
      </c>
      <c r="J51">
        <v>100</v>
      </c>
      <c r="K51">
        <v>105250</v>
      </c>
      <c r="L51" s="8">
        <v>45471</v>
      </c>
      <c r="M51" t="s">
        <v>444</v>
      </c>
      <c r="N51">
        <v>3364.2959999999998</v>
      </c>
      <c r="O51" s="13">
        <v>3.1399999999999997E-2</v>
      </c>
      <c r="P51">
        <v>101951.74</v>
      </c>
      <c r="Q51" s="13">
        <v>1.0324</v>
      </c>
      <c r="R51" s="13">
        <v>-0.14990000000000001</v>
      </c>
      <c r="S51">
        <v>0.18</v>
      </c>
      <c r="T51">
        <v>0.16</v>
      </c>
    </row>
    <row r="52" spans="1:20" hidden="1" x14ac:dyDescent="0.3">
      <c r="A52" t="s">
        <v>439</v>
      </c>
      <c r="B52" t="s">
        <v>452</v>
      </c>
      <c r="C52" t="s">
        <v>453</v>
      </c>
      <c r="E52" s="8">
        <v>45473</v>
      </c>
      <c r="F52" t="s">
        <v>267</v>
      </c>
      <c r="G52" t="s">
        <v>455</v>
      </c>
      <c r="H52" s="8">
        <v>45473</v>
      </c>
      <c r="I52" t="s">
        <v>41</v>
      </c>
      <c r="J52">
        <v>100</v>
      </c>
      <c r="K52">
        <v>115950</v>
      </c>
      <c r="L52" s="8">
        <v>45470</v>
      </c>
      <c r="M52" t="s">
        <v>444</v>
      </c>
      <c r="N52">
        <v>2917.797</v>
      </c>
      <c r="O52" s="13">
        <v>3.2800000000000003E-2</v>
      </c>
      <c r="P52">
        <v>117123.51</v>
      </c>
      <c r="Q52" s="13">
        <v>0.99</v>
      </c>
      <c r="R52" s="13">
        <v>0</v>
      </c>
      <c r="S52">
        <v>0</v>
      </c>
      <c r="T52">
        <v>0</v>
      </c>
    </row>
    <row r="53" spans="1:20" hidden="1" x14ac:dyDescent="0.3">
      <c r="A53" t="s">
        <v>439</v>
      </c>
      <c r="B53" t="s">
        <v>464</v>
      </c>
      <c r="C53" t="s">
        <v>465</v>
      </c>
      <c r="E53" s="8">
        <v>45688</v>
      </c>
      <c r="F53" t="s">
        <v>267</v>
      </c>
      <c r="G53" t="s">
        <v>455</v>
      </c>
      <c r="H53" s="8">
        <v>45688</v>
      </c>
      <c r="I53" t="s">
        <v>41</v>
      </c>
      <c r="J53">
        <v>100</v>
      </c>
      <c r="K53">
        <v>116500</v>
      </c>
      <c r="L53" s="8">
        <v>45471</v>
      </c>
      <c r="M53" t="s">
        <v>444</v>
      </c>
      <c r="N53">
        <v>3364.2959999999998</v>
      </c>
      <c r="O53" s="13">
        <v>2.8299999999999999E-2</v>
      </c>
      <c r="P53">
        <v>101951.74</v>
      </c>
      <c r="Q53" s="13">
        <v>1.1427</v>
      </c>
      <c r="R53" s="13">
        <v>-0.1784</v>
      </c>
      <c r="S53">
        <v>0.64</v>
      </c>
      <c r="T53">
        <v>0.59</v>
      </c>
    </row>
    <row r="54" spans="1:20" hidden="1" x14ac:dyDescent="0.3">
      <c r="A54" t="s">
        <v>473</v>
      </c>
      <c r="B54" t="s">
        <v>474</v>
      </c>
      <c r="C54" t="s">
        <v>475</v>
      </c>
      <c r="E54" s="8">
        <v>45747</v>
      </c>
      <c r="F54" t="s">
        <v>267</v>
      </c>
      <c r="G54" t="s">
        <v>23</v>
      </c>
      <c r="H54" s="8">
        <v>45565</v>
      </c>
      <c r="I54" t="s">
        <v>25</v>
      </c>
      <c r="J54">
        <v>100</v>
      </c>
      <c r="K54">
        <v>109750</v>
      </c>
      <c r="L54" s="8">
        <v>45471</v>
      </c>
      <c r="M54" t="s">
        <v>478</v>
      </c>
      <c r="N54">
        <v>0.126</v>
      </c>
      <c r="O54" s="13">
        <v>4.1999999999999997E-3</v>
      </c>
      <c r="P54">
        <v>100.13</v>
      </c>
      <c r="Q54" s="13">
        <v>1.2035</v>
      </c>
      <c r="R54" s="13">
        <v>-0.21579999999999999</v>
      </c>
      <c r="S54">
        <v>0.85</v>
      </c>
      <c r="T54">
        <v>0.75</v>
      </c>
    </row>
    <row r="55" spans="1:20" hidden="1" x14ac:dyDescent="0.3">
      <c r="A55" t="s">
        <v>473</v>
      </c>
      <c r="B55" t="s">
        <v>486</v>
      </c>
      <c r="C55" t="s">
        <v>487</v>
      </c>
      <c r="E55" s="8">
        <v>45838</v>
      </c>
      <c r="F55" t="s">
        <v>267</v>
      </c>
      <c r="G55" t="s">
        <v>66</v>
      </c>
      <c r="H55" s="8">
        <v>45838</v>
      </c>
      <c r="I55" t="s">
        <v>381</v>
      </c>
      <c r="J55">
        <v>100</v>
      </c>
      <c r="K55">
        <v>107000</v>
      </c>
      <c r="L55" s="8">
        <v>45471</v>
      </c>
      <c r="M55" t="s">
        <v>489</v>
      </c>
      <c r="N55">
        <v>0</v>
      </c>
      <c r="O55" s="13">
        <v>0</v>
      </c>
      <c r="P55">
        <v>100</v>
      </c>
      <c r="Q55" s="13">
        <v>0.79730000000000001</v>
      </c>
      <c r="R55" s="13">
        <v>0.255</v>
      </c>
      <c r="S55">
        <v>0.88</v>
      </c>
      <c r="T55">
        <v>1</v>
      </c>
    </row>
    <row r="56" spans="1:20" hidden="1" x14ac:dyDescent="0.3">
      <c r="A56" t="s">
        <v>493</v>
      </c>
      <c r="B56" t="s">
        <v>494</v>
      </c>
      <c r="C56" t="s">
        <v>495</v>
      </c>
      <c r="E56" s="8">
        <v>46691</v>
      </c>
      <c r="F56" t="s">
        <v>497</v>
      </c>
      <c r="G56" t="s">
        <v>23</v>
      </c>
      <c r="H56" s="8">
        <v>45596</v>
      </c>
      <c r="I56" t="s">
        <v>25</v>
      </c>
      <c r="J56">
        <v>100</v>
      </c>
      <c r="K56">
        <v>124490</v>
      </c>
      <c r="L56" s="8">
        <v>45471</v>
      </c>
      <c r="M56" t="s">
        <v>500</v>
      </c>
      <c r="N56">
        <v>2.4443999999999999</v>
      </c>
      <c r="O56" s="13">
        <v>5.5399999999999998E-2</v>
      </c>
      <c r="P56">
        <v>102.444</v>
      </c>
      <c r="Q56" s="13">
        <v>0.90549999999999997</v>
      </c>
      <c r="R56" s="13">
        <v>8.8099999999999998E-2</v>
      </c>
      <c r="S56">
        <v>2.69</v>
      </c>
      <c r="T56">
        <v>2.86</v>
      </c>
    </row>
    <row r="57" spans="1:20" hidden="1" x14ac:dyDescent="0.3">
      <c r="A57" t="s">
        <v>493</v>
      </c>
      <c r="B57" t="s">
        <v>507</v>
      </c>
      <c r="C57" t="s">
        <v>508</v>
      </c>
      <c r="E57" s="8">
        <v>46691</v>
      </c>
      <c r="F57" t="s">
        <v>497</v>
      </c>
      <c r="G57" t="s">
        <v>23</v>
      </c>
      <c r="H57" s="8">
        <v>45596</v>
      </c>
      <c r="I57" t="s">
        <v>25</v>
      </c>
      <c r="J57">
        <v>100</v>
      </c>
      <c r="K57">
        <v>111000</v>
      </c>
      <c r="L57" s="8">
        <v>45471</v>
      </c>
      <c r="M57" t="s">
        <v>500</v>
      </c>
      <c r="N57">
        <v>2.4443999999999999</v>
      </c>
      <c r="O57" s="13">
        <v>6.2300000000000001E-2</v>
      </c>
      <c r="P57">
        <v>102.444</v>
      </c>
      <c r="Q57" s="13">
        <v>0.80740000000000001</v>
      </c>
      <c r="R57" s="13">
        <v>0.1336</v>
      </c>
      <c r="S57">
        <v>2.61</v>
      </c>
      <c r="T57">
        <v>2.86</v>
      </c>
    </row>
    <row r="58" spans="1:20" hidden="1" x14ac:dyDescent="0.3">
      <c r="A58" t="s">
        <v>493</v>
      </c>
      <c r="B58" t="s">
        <v>513</v>
      </c>
      <c r="C58" t="s">
        <v>514</v>
      </c>
      <c r="E58" s="8">
        <v>46691</v>
      </c>
      <c r="F58" t="s">
        <v>497</v>
      </c>
      <c r="G58" t="s">
        <v>23</v>
      </c>
      <c r="H58" s="8">
        <v>45596</v>
      </c>
      <c r="I58" t="s">
        <v>25</v>
      </c>
      <c r="J58">
        <v>100</v>
      </c>
      <c r="K58">
        <v>101800</v>
      </c>
      <c r="L58" s="8">
        <v>45471</v>
      </c>
      <c r="M58" t="s">
        <v>500</v>
      </c>
      <c r="N58">
        <v>2.4443999999999999</v>
      </c>
      <c r="O58" s="13">
        <v>6.8099999999999994E-2</v>
      </c>
      <c r="P58">
        <v>102.444</v>
      </c>
      <c r="Q58" s="13">
        <v>0.74050000000000005</v>
      </c>
      <c r="R58" s="13">
        <v>0.16950000000000001</v>
      </c>
      <c r="S58">
        <v>2.5499999999999998</v>
      </c>
      <c r="T58">
        <v>2.86</v>
      </c>
    </row>
    <row r="59" spans="1:20" hidden="1" x14ac:dyDescent="0.3">
      <c r="A59" t="s">
        <v>493</v>
      </c>
      <c r="B59" t="s">
        <v>520</v>
      </c>
      <c r="C59" t="s">
        <v>521</v>
      </c>
      <c r="E59" s="8">
        <v>46691</v>
      </c>
      <c r="F59" t="s">
        <v>497</v>
      </c>
      <c r="G59" t="s">
        <v>23</v>
      </c>
      <c r="H59" s="8">
        <v>45596</v>
      </c>
      <c r="I59" t="s">
        <v>25</v>
      </c>
      <c r="J59">
        <v>100</v>
      </c>
      <c r="K59">
        <v>97560</v>
      </c>
      <c r="L59" s="8">
        <v>45471</v>
      </c>
      <c r="M59" t="s">
        <v>500</v>
      </c>
      <c r="N59">
        <v>2.4443999999999999</v>
      </c>
      <c r="O59" s="13">
        <v>7.1199999999999999E-2</v>
      </c>
      <c r="P59">
        <v>102.444</v>
      </c>
      <c r="Q59" s="13">
        <v>0.70960000000000001</v>
      </c>
      <c r="R59" s="13">
        <v>0.18759999999999999</v>
      </c>
      <c r="S59">
        <v>2.52</v>
      </c>
      <c r="T59">
        <v>2.86</v>
      </c>
    </row>
    <row r="60" spans="1:20" hidden="1" x14ac:dyDescent="0.3">
      <c r="A60" t="s">
        <v>493</v>
      </c>
      <c r="B60" t="s">
        <v>527</v>
      </c>
      <c r="C60" t="s">
        <v>528</v>
      </c>
      <c r="E60" s="8">
        <v>45838</v>
      </c>
      <c r="F60" t="s">
        <v>529</v>
      </c>
      <c r="G60" t="s">
        <v>463</v>
      </c>
      <c r="H60" s="8">
        <v>45504</v>
      </c>
      <c r="I60" t="s">
        <v>381</v>
      </c>
      <c r="J60">
        <v>100</v>
      </c>
      <c r="K60">
        <v>127880</v>
      </c>
      <c r="L60" s="8">
        <v>45471</v>
      </c>
      <c r="M60" t="s">
        <v>463</v>
      </c>
      <c r="N60">
        <v>0</v>
      </c>
      <c r="O60" s="13">
        <v>0</v>
      </c>
      <c r="P60">
        <v>100</v>
      </c>
      <c r="Q60" s="13">
        <v>0.95289999999999997</v>
      </c>
      <c r="R60" s="13">
        <v>9.4E-2</v>
      </c>
      <c r="S60">
        <v>0.51</v>
      </c>
      <c r="T60">
        <v>0.54</v>
      </c>
    </row>
    <row r="61" spans="1:20" hidden="1" x14ac:dyDescent="0.3">
      <c r="A61" t="s">
        <v>493</v>
      </c>
      <c r="B61" t="s">
        <v>536</v>
      </c>
      <c r="C61" t="s">
        <v>537</v>
      </c>
      <c r="E61" s="8">
        <v>45838</v>
      </c>
      <c r="F61" t="s">
        <v>529</v>
      </c>
      <c r="G61" t="s">
        <v>66</v>
      </c>
      <c r="H61" s="8">
        <v>45504</v>
      </c>
      <c r="I61" t="s">
        <v>381</v>
      </c>
      <c r="J61">
        <v>100</v>
      </c>
      <c r="K61">
        <v>94.25</v>
      </c>
      <c r="L61" s="8">
        <v>45471</v>
      </c>
      <c r="M61" t="s">
        <v>463</v>
      </c>
      <c r="N61">
        <v>0</v>
      </c>
      <c r="O61" s="13">
        <v>0</v>
      </c>
      <c r="P61">
        <v>100</v>
      </c>
      <c r="Q61" s="13">
        <v>0.9425</v>
      </c>
      <c r="R61" s="13">
        <v>0.1003</v>
      </c>
      <c r="S61">
        <v>0.59</v>
      </c>
      <c r="T61">
        <v>0.62</v>
      </c>
    </row>
    <row r="62" spans="1:20" hidden="1" x14ac:dyDescent="0.3">
      <c r="A62" t="s">
        <v>493</v>
      </c>
      <c r="B62" t="s">
        <v>542</v>
      </c>
      <c r="C62" t="s">
        <v>543</v>
      </c>
      <c r="E62" s="8">
        <v>45838</v>
      </c>
      <c r="F62" t="s">
        <v>529</v>
      </c>
      <c r="G62" t="s">
        <v>66</v>
      </c>
      <c r="H62" s="8">
        <v>45504</v>
      </c>
      <c r="I62" t="s">
        <v>381</v>
      </c>
      <c r="J62">
        <v>100</v>
      </c>
      <c r="K62">
        <v>94.8</v>
      </c>
      <c r="L62" s="8">
        <v>45471</v>
      </c>
      <c r="M62" t="s">
        <v>463</v>
      </c>
      <c r="N62">
        <v>0</v>
      </c>
      <c r="O62" s="13">
        <v>0</v>
      </c>
      <c r="P62">
        <v>100</v>
      </c>
      <c r="Q62" s="13">
        <v>0.94799999999999995</v>
      </c>
      <c r="R62" s="13">
        <v>0.09</v>
      </c>
      <c r="S62">
        <v>0.59</v>
      </c>
      <c r="T62">
        <v>0.62</v>
      </c>
    </row>
    <row r="63" spans="1:20" hidden="1" x14ac:dyDescent="0.3">
      <c r="A63" t="s">
        <v>493</v>
      </c>
      <c r="B63" t="s">
        <v>547</v>
      </c>
      <c r="C63" t="s">
        <v>548</v>
      </c>
      <c r="E63" s="8">
        <v>46173</v>
      </c>
      <c r="F63" t="s">
        <v>550</v>
      </c>
      <c r="G63" t="s">
        <v>551</v>
      </c>
      <c r="H63" s="8">
        <v>45535</v>
      </c>
      <c r="I63" t="s">
        <v>25</v>
      </c>
      <c r="J63">
        <v>100</v>
      </c>
      <c r="K63">
        <v>102800</v>
      </c>
      <c r="L63" s="8">
        <v>45471</v>
      </c>
      <c r="M63" t="s">
        <v>554</v>
      </c>
      <c r="N63">
        <v>0.95</v>
      </c>
      <c r="O63" s="13">
        <v>3.9699999999999999E-2</v>
      </c>
      <c r="P63">
        <v>100.95</v>
      </c>
      <c r="Q63" s="13">
        <v>0.75880000000000003</v>
      </c>
      <c r="R63" s="13">
        <v>0.22289999999999999</v>
      </c>
      <c r="S63">
        <v>1.44</v>
      </c>
      <c r="T63">
        <v>1.62</v>
      </c>
    </row>
    <row r="64" spans="1:20" hidden="1" x14ac:dyDescent="0.3">
      <c r="A64" t="s">
        <v>493</v>
      </c>
      <c r="B64" t="s">
        <v>562</v>
      </c>
      <c r="C64" t="s">
        <v>563</v>
      </c>
      <c r="E64" s="8">
        <v>46173</v>
      </c>
      <c r="F64" t="s">
        <v>550</v>
      </c>
      <c r="G64" t="s">
        <v>551</v>
      </c>
      <c r="H64" s="8">
        <v>45535</v>
      </c>
      <c r="I64" t="s">
        <v>25</v>
      </c>
      <c r="J64">
        <v>100</v>
      </c>
      <c r="K64">
        <v>76</v>
      </c>
      <c r="L64" s="8">
        <v>45471</v>
      </c>
      <c r="M64" t="s">
        <v>554</v>
      </c>
      <c r="N64">
        <v>0.95</v>
      </c>
      <c r="O64" s="13">
        <v>0.04</v>
      </c>
      <c r="P64">
        <v>100.95</v>
      </c>
      <c r="Q64" s="13">
        <v>0.75280000000000002</v>
      </c>
      <c r="R64" s="13">
        <v>0.22889999999999999</v>
      </c>
      <c r="S64">
        <v>1.44</v>
      </c>
      <c r="T64">
        <v>1.62</v>
      </c>
    </row>
    <row r="65" spans="1:20" hidden="1" x14ac:dyDescent="0.3">
      <c r="A65" t="s">
        <v>493</v>
      </c>
      <c r="B65" t="s">
        <v>568</v>
      </c>
      <c r="C65" t="s">
        <v>569</v>
      </c>
      <c r="E65" s="8">
        <v>46173</v>
      </c>
      <c r="F65" t="s">
        <v>550</v>
      </c>
      <c r="G65" t="s">
        <v>551</v>
      </c>
      <c r="H65" s="8">
        <v>45535</v>
      </c>
      <c r="I65" t="s">
        <v>25</v>
      </c>
      <c r="J65">
        <v>100</v>
      </c>
      <c r="K65">
        <v>76.599999999999994</v>
      </c>
      <c r="L65" s="8">
        <v>45471</v>
      </c>
      <c r="M65" t="s">
        <v>554</v>
      </c>
      <c r="N65">
        <v>0.95</v>
      </c>
      <c r="O65" s="13">
        <v>3.9699999999999999E-2</v>
      </c>
      <c r="P65">
        <v>100.95</v>
      </c>
      <c r="Q65" s="13">
        <v>0.75880000000000003</v>
      </c>
      <c r="R65" s="13">
        <v>0.22289999999999999</v>
      </c>
      <c r="S65">
        <v>1.44</v>
      </c>
      <c r="T65">
        <v>1.62</v>
      </c>
    </row>
    <row r="71" spans="1:20" x14ac:dyDescent="0.3">
      <c r="B71" t="s">
        <v>580</v>
      </c>
    </row>
    <row r="72" spans="1:20" x14ac:dyDescent="0.3">
      <c r="B72" t="s">
        <v>581</v>
      </c>
    </row>
    <row r="73" spans="1:20" x14ac:dyDescent="0.3">
      <c r="B73" t="s">
        <v>582</v>
      </c>
    </row>
    <row r="74" spans="1:20" x14ac:dyDescent="0.3">
      <c r="B74" t="s">
        <v>583</v>
      </c>
    </row>
    <row r="75" spans="1:20" x14ac:dyDescent="0.3">
      <c r="B75" t="s">
        <v>584</v>
      </c>
    </row>
    <row r="76" spans="1:20" x14ac:dyDescent="0.3">
      <c r="B76" t="s">
        <v>585</v>
      </c>
    </row>
    <row r="77" spans="1:20" x14ac:dyDescent="0.3">
      <c r="B77" t="s">
        <v>586</v>
      </c>
    </row>
    <row r="78" spans="1:20" x14ac:dyDescent="0.3">
      <c r="B78" t="s">
        <v>587</v>
      </c>
    </row>
    <row r="79" spans="1:20" x14ac:dyDescent="0.3">
      <c r="B79" t="s">
        <v>588</v>
      </c>
    </row>
    <row r="80" spans="1:20" x14ac:dyDescent="0.3">
      <c r="B80" t="s">
        <v>589</v>
      </c>
    </row>
    <row r="81" spans="2:2" x14ac:dyDescent="0.3">
      <c r="B81" t="s">
        <v>590</v>
      </c>
    </row>
    <row r="82" spans="2:2" x14ac:dyDescent="0.3">
      <c r="B82" t="s">
        <v>591</v>
      </c>
    </row>
    <row r="83" spans="2:2" x14ac:dyDescent="0.3">
      <c r="B83" t="s">
        <v>592</v>
      </c>
    </row>
    <row r="84" spans="2:2" x14ac:dyDescent="0.3">
      <c r="B84" t="s">
        <v>593</v>
      </c>
    </row>
    <row r="85" spans="2:2" x14ac:dyDescent="0.3">
      <c r="B85" t="s">
        <v>594</v>
      </c>
    </row>
    <row r="86" spans="2:2" x14ac:dyDescent="0.3">
      <c r="B86" t="s">
        <v>595</v>
      </c>
    </row>
    <row r="87" spans="2:2" x14ac:dyDescent="0.3">
      <c r="B87" t="s">
        <v>596</v>
      </c>
    </row>
    <row r="88" spans="2:2" x14ac:dyDescent="0.3">
      <c r="B88" t="s">
        <v>597</v>
      </c>
    </row>
    <row r="89" spans="2:2" x14ac:dyDescent="0.3">
      <c r="B89" t="s">
        <v>598</v>
      </c>
    </row>
    <row r="90" spans="2:2" x14ac:dyDescent="0.3">
      <c r="B90" t="s">
        <v>599</v>
      </c>
    </row>
    <row r="91" spans="2:2" x14ac:dyDescent="0.3">
      <c r="B91" t="s">
        <v>600</v>
      </c>
    </row>
    <row r="92" spans="2:2" x14ac:dyDescent="0.3">
      <c r="B92" t="s">
        <v>601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5"/>
  <sheetViews>
    <sheetView workbookViewId="0">
      <pane ySplit="1" topLeftCell="A2" activePane="bottomLeft" state="frozen"/>
      <selection pane="bottomLeft" activeCell="A40" sqref="A40"/>
    </sheetView>
  </sheetViews>
  <sheetFormatPr defaultRowHeight="14.4" x14ac:dyDescent="0.3"/>
  <cols>
    <col min="1" max="1" width="19" customWidth="1"/>
    <col min="2" max="2" width="33" customWidth="1"/>
    <col min="3" max="3" width="10" customWidth="1"/>
    <col min="4" max="4" width="13" customWidth="1"/>
    <col min="5" max="5" width="20" customWidth="1"/>
    <col min="6" max="6" width="12" customWidth="1"/>
    <col min="7" max="7" width="13" customWidth="1"/>
    <col min="8" max="9" width="10" customWidth="1"/>
    <col min="10" max="11" width="12" customWidth="1"/>
    <col min="12" max="13" width="20" customWidth="1"/>
    <col min="14" max="14" width="13" customWidth="1"/>
    <col min="15" max="15" width="15" customWidth="1"/>
    <col min="16" max="16" width="10" customWidth="1"/>
    <col min="17" max="17" width="11" customWidth="1"/>
    <col min="18" max="20" width="10" customWidth="1"/>
    <col min="21" max="21" width="16" customWidth="1"/>
    <col min="22" max="22" width="24" customWidth="1"/>
    <col min="23" max="23" width="19" customWidth="1"/>
    <col min="24" max="25" width="10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571</v>
      </c>
      <c r="U1" s="1" t="s">
        <v>572</v>
      </c>
      <c r="V1" s="1" t="s">
        <v>573</v>
      </c>
      <c r="W1" s="1" t="s">
        <v>574</v>
      </c>
      <c r="X1" s="1" t="s">
        <v>575</v>
      </c>
      <c r="Y1" s="1" t="s">
        <v>576</v>
      </c>
    </row>
    <row r="2" spans="1:25" x14ac:dyDescent="0.3">
      <c r="A2" t="s">
        <v>19</v>
      </c>
      <c r="B2" t="s">
        <v>20</v>
      </c>
      <c r="C2" t="s">
        <v>21</v>
      </c>
      <c r="D2" s="8">
        <v>50770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s="13">
        <v>8.6400000000000005E-2</v>
      </c>
      <c r="R2" t="s">
        <v>34</v>
      </c>
      <c r="S2" t="s">
        <v>35</v>
      </c>
      <c r="T2">
        <v>100</v>
      </c>
      <c r="U2">
        <v>16340</v>
      </c>
      <c r="V2">
        <v>124.381</v>
      </c>
      <c r="W2">
        <v>27924.13</v>
      </c>
      <c r="X2">
        <v>7.96</v>
      </c>
      <c r="Y2">
        <v>9.2799999999999994</v>
      </c>
    </row>
    <row r="3" spans="1:25" x14ac:dyDescent="0.3">
      <c r="A3" t="s">
        <v>36</v>
      </c>
      <c r="B3" t="s">
        <v>37</v>
      </c>
      <c r="C3" t="s">
        <v>38</v>
      </c>
      <c r="D3" s="8">
        <v>48944</v>
      </c>
      <c r="E3" t="s">
        <v>23</v>
      </c>
      <c r="F3" t="s">
        <v>23</v>
      </c>
      <c r="G3" t="s">
        <v>40</v>
      </c>
      <c r="H3" t="s">
        <v>41</v>
      </c>
      <c r="I3" t="s">
        <v>42</v>
      </c>
      <c r="J3" t="s">
        <v>43</v>
      </c>
      <c r="K3" t="s">
        <v>28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s="13">
        <v>7.7200000000000005E-2</v>
      </c>
      <c r="R3" t="s">
        <v>49</v>
      </c>
      <c r="S3" t="s">
        <v>50</v>
      </c>
      <c r="T3">
        <v>95</v>
      </c>
      <c r="U3">
        <v>31250</v>
      </c>
      <c r="V3">
        <v>5.431</v>
      </c>
      <c r="W3">
        <v>33544.160000000003</v>
      </c>
      <c r="X3">
        <v>3.97</v>
      </c>
      <c r="Y3">
        <v>4.66</v>
      </c>
    </row>
    <row r="4" spans="1:25" x14ac:dyDescent="0.3">
      <c r="A4" t="s">
        <v>51</v>
      </c>
      <c r="B4" t="s">
        <v>52</v>
      </c>
      <c r="C4" t="s">
        <v>53</v>
      </c>
      <c r="D4" s="8">
        <v>53327</v>
      </c>
      <c r="E4" t="s">
        <v>23</v>
      </c>
      <c r="F4" t="s">
        <v>23</v>
      </c>
      <c r="G4" t="s">
        <v>40</v>
      </c>
      <c r="H4" t="s">
        <v>25</v>
      </c>
      <c r="I4" t="s">
        <v>26</v>
      </c>
      <c r="J4" t="s">
        <v>54</v>
      </c>
      <c r="K4" t="s">
        <v>28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s="13">
        <v>9.0700000000000003E-2</v>
      </c>
      <c r="R4" t="s">
        <v>60</v>
      </c>
      <c r="S4" t="s">
        <v>61</v>
      </c>
      <c r="T4">
        <v>100</v>
      </c>
      <c r="U4">
        <v>20230</v>
      </c>
      <c r="V4">
        <v>3.5489999999999999</v>
      </c>
      <c r="W4">
        <v>38606.080000000002</v>
      </c>
      <c r="X4">
        <v>10.51</v>
      </c>
      <c r="Y4">
        <v>13.95</v>
      </c>
    </row>
    <row r="5" spans="1:25" hidden="1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66</v>
      </c>
      <c r="G5" t="s">
        <v>67</v>
      </c>
      <c r="H5" t="s">
        <v>25</v>
      </c>
      <c r="I5" t="s">
        <v>66</v>
      </c>
      <c r="J5" t="s">
        <v>68</v>
      </c>
      <c r="K5" t="s">
        <v>28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U5">
        <v>1739.5</v>
      </c>
    </row>
    <row r="6" spans="1:25" hidden="1" x14ac:dyDescent="0.3">
      <c r="A6" t="s">
        <v>62</v>
      </c>
      <c r="B6" t="s">
        <v>69</v>
      </c>
      <c r="C6" t="s">
        <v>70</v>
      </c>
      <c r="D6" t="s">
        <v>65</v>
      </c>
      <c r="E6" t="s">
        <v>66</v>
      </c>
      <c r="F6" t="s">
        <v>66</v>
      </c>
      <c r="G6" t="s">
        <v>67</v>
      </c>
      <c r="H6" t="s">
        <v>25</v>
      </c>
      <c r="I6" t="s">
        <v>66</v>
      </c>
      <c r="J6" t="s">
        <v>71</v>
      </c>
      <c r="K6" t="s">
        <v>28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U6">
        <v>6.1</v>
      </c>
    </row>
    <row r="7" spans="1:25" hidden="1" x14ac:dyDescent="0.3">
      <c r="A7" t="s">
        <v>62</v>
      </c>
      <c r="B7" t="s">
        <v>72</v>
      </c>
      <c r="C7" t="s">
        <v>73</v>
      </c>
      <c r="D7" t="s">
        <v>65</v>
      </c>
      <c r="E7" t="s">
        <v>66</v>
      </c>
      <c r="F7" t="s">
        <v>66</v>
      </c>
      <c r="G7" t="s">
        <v>67</v>
      </c>
      <c r="H7" t="s">
        <v>25</v>
      </c>
      <c r="I7" t="s">
        <v>66</v>
      </c>
      <c r="J7" t="s">
        <v>74</v>
      </c>
      <c r="K7" t="s">
        <v>28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U7">
        <v>3200</v>
      </c>
    </row>
    <row r="8" spans="1:25" hidden="1" x14ac:dyDescent="0.3">
      <c r="A8" t="s">
        <v>62</v>
      </c>
      <c r="B8" t="s">
        <v>75</v>
      </c>
      <c r="C8" t="s">
        <v>76</v>
      </c>
      <c r="D8" t="s">
        <v>65</v>
      </c>
      <c r="E8" t="s">
        <v>66</v>
      </c>
      <c r="F8" t="s">
        <v>66</v>
      </c>
      <c r="G8" t="s">
        <v>67</v>
      </c>
      <c r="H8" t="s">
        <v>25</v>
      </c>
      <c r="I8" t="s">
        <v>66</v>
      </c>
      <c r="J8" t="s">
        <v>77</v>
      </c>
      <c r="K8" t="s">
        <v>28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U8">
        <v>9000</v>
      </c>
    </row>
    <row r="9" spans="1:25" hidden="1" x14ac:dyDescent="0.3">
      <c r="A9" t="s">
        <v>19</v>
      </c>
      <c r="B9" t="s">
        <v>20</v>
      </c>
      <c r="C9" t="s">
        <v>78</v>
      </c>
      <c r="D9" t="s">
        <v>22</v>
      </c>
      <c r="E9" t="s">
        <v>23</v>
      </c>
      <c r="F9" t="s">
        <v>23</v>
      </c>
      <c r="G9" t="s">
        <v>24</v>
      </c>
      <c r="H9" t="s">
        <v>25</v>
      </c>
      <c r="I9" t="s">
        <v>26</v>
      </c>
      <c r="J9" t="s">
        <v>79</v>
      </c>
      <c r="K9" t="s">
        <v>28</v>
      </c>
      <c r="L9" t="s">
        <v>29</v>
      </c>
      <c r="M9" t="s">
        <v>30</v>
      </c>
      <c r="N9" t="s">
        <v>80</v>
      </c>
      <c r="O9" t="s">
        <v>32</v>
      </c>
      <c r="P9" t="s">
        <v>81</v>
      </c>
      <c r="Q9" t="s">
        <v>82</v>
      </c>
      <c r="R9" t="s">
        <v>83</v>
      </c>
      <c r="S9" t="s">
        <v>35</v>
      </c>
      <c r="T9">
        <v>100</v>
      </c>
      <c r="U9">
        <v>16480</v>
      </c>
      <c r="V9">
        <v>124.381</v>
      </c>
      <c r="W9">
        <v>27924.13</v>
      </c>
      <c r="X9">
        <v>7.98</v>
      </c>
      <c r="Y9">
        <v>9.2799999999999994</v>
      </c>
    </row>
    <row r="10" spans="1:25" hidden="1" x14ac:dyDescent="0.3">
      <c r="A10" t="s">
        <v>36</v>
      </c>
      <c r="B10" t="s">
        <v>37</v>
      </c>
      <c r="C10" t="s">
        <v>84</v>
      </c>
      <c r="D10" t="s">
        <v>39</v>
      </c>
      <c r="E10" t="s">
        <v>23</v>
      </c>
      <c r="F10" t="s">
        <v>23</v>
      </c>
      <c r="G10" t="s">
        <v>40</v>
      </c>
      <c r="H10" t="s">
        <v>41</v>
      </c>
      <c r="I10" t="s">
        <v>42</v>
      </c>
      <c r="J10" t="s">
        <v>85</v>
      </c>
      <c r="K10" t="s">
        <v>28</v>
      </c>
      <c r="L10" t="s">
        <v>44</v>
      </c>
      <c r="M10" t="s">
        <v>45</v>
      </c>
      <c r="N10" t="s">
        <v>86</v>
      </c>
      <c r="O10" t="s">
        <v>47</v>
      </c>
      <c r="P10" t="s">
        <v>87</v>
      </c>
      <c r="Q10" t="s">
        <v>88</v>
      </c>
      <c r="R10" t="s">
        <v>89</v>
      </c>
      <c r="S10" t="s">
        <v>50</v>
      </c>
      <c r="T10">
        <v>95</v>
      </c>
      <c r="U10">
        <v>31540</v>
      </c>
      <c r="V10">
        <v>5.431</v>
      </c>
      <c r="W10">
        <v>33544.160000000003</v>
      </c>
      <c r="X10">
        <v>3.99</v>
      </c>
      <c r="Y10">
        <v>4.66</v>
      </c>
    </row>
    <row r="11" spans="1:25" hidden="1" x14ac:dyDescent="0.3">
      <c r="A11" t="s">
        <v>62</v>
      </c>
      <c r="B11" t="s">
        <v>90</v>
      </c>
      <c r="C11" t="s">
        <v>91</v>
      </c>
      <c r="D11" t="s">
        <v>65</v>
      </c>
      <c r="E11" t="s">
        <v>66</v>
      </c>
      <c r="F11" t="s">
        <v>66</v>
      </c>
      <c r="G11" t="s">
        <v>67</v>
      </c>
      <c r="H11" t="s">
        <v>25</v>
      </c>
      <c r="I11" t="s">
        <v>66</v>
      </c>
      <c r="J11" t="s">
        <v>92</v>
      </c>
      <c r="K11" t="s">
        <v>28</v>
      </c>
      <c r="L11" t="s">
        <v>66</v>
      </c>
      <c r="M11" t="s">
        <v>66</v>
      </c>
      <c r="N11" t="s">
        <v>66</v>
      </c>
      <c r="O11" t="s">
        <v>93</v>
      </c>
      <c r="P11" t="s">
        <v>94</v>
      </c>
      <c r="Q11" t="s">
        <v>95</v>
      </c>
      <c r="R11" t="s">
        <v>96</v>
      </c>
      <c r="S11" t="s">
        <v>66</v>
      </c>
      <c r="U11">
        <v>2300</v>
      </c>
      <c r="W11">
        <v>62.627049999999997</v>
      </c>
      <c r="X11">
        <v>0.41</v>
      </c>
    </row>
    <row r="12" spans="1:25" hidden="1" x14ac:dyDescent="0.3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23</v>
      </c>
      <c r="G12" t="s">
        <v>102</v>
      </c>
      <c r="H12" t="s">
        <v>25</v>
      </c>
      <c r="I12" t="s">
        <v>26</v>
      </c>
      <c r="J12" t="s">
        <v>103</v>
      </c>
      <c r="K12" t="s">
        <v>28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109</v>
      </c>
      <c r="R12" t="s">
        <v>110</v>
      </c>
      <c r="S12" t="s">
        <v>111</v>
      </c>
      <c r="T12">
        <v>100</v>
      </c>
      <c r="U12">
        <v>74220</v>
      </c>
      <c r="V12">
        <v>0.47799999999999998</v>
      </c>
      <c r="W12">
        <v>100.48</v>
      </c>
      <c r="X12">
        <v>1.95</v>
      </c>
      <c r="Y12">
        <v>2.61</v>
      </c>
    </row>
    <row r="13" spans="1:25" hidden="1" x14ac:dyDescent="0.3">
      <c r="A13" t="s">
        <v>97</v>
      </c>
      <c r="B13" t="s">
        <v>98</v>
      </c>
      <c r="C13" t="s">
        <v>112</v>
      </c>
      <c r="D13" t="s">
        <v>100</v>
      </c>
      <c r="E13" t="s">
        <v>101</v>
      </c>
      <c r="F13" t="s">
        <v>23</v>
      </c>
      <c r="G13" t="s">
        <v>102</v>
      </c>
      <c r="H13" t="s">
        <v>25</v>
      </c>
      <c r="I13" t="s">
        <v>26</v>
      </c>
      <c r="J13" t="s">
        <v>113</v>
      </c>
      <c r="K13" t="s">
        <v>28</v>
      </c>
      <c r="L13" t="s">
        <v>104</v>
      </c>
      <c r="M13" t="s">
        <v>105</v>
      </c>
      <c r="N13" t="s">
        <v>114</v>
      </c>
      <c r="O13" t="s">
        <v>107</v>
      </c>
      <c r="P13" t="s">
        <v>115</v>
      </c>
      <c r="Q13" t="s">
        <v>116</v>
      </c>
      <c r="R13" t="s">
        <v>117</v>
      </c>
      <c r="S13" t="s">
        <v>118</v>
      </c>
      <c r="T13">
        <v>100</v>
      </c>
      <c r="U13">
        <v>55.7</v>
      </c>
      <c r="V13">
        <v>0.47799999999999998</v>
      </c>
      <c r="W13">
        <v>100.48</v>
      </c>
      <c r="X13">
        <v>1.96</v>
      </c>
      <c r="Y13">
        <v>7.22</v>
      </c>
    </row>
    <row r="14" spans="1:25" hidden="1" x14ac:dyDescent="0.3">
      <c r="A14" t="s">
        <v>97</v>
      </c>
      <c r="B14" t="s">
        <v>119</v>
      </c>
      <c r="C14" t="s">
        <v>120</v>
      </c>
      <c r="D14" t="s">
        <v>121</v>
      </c>
      <c r="E14" t="s">
        <v>122</v>
      </c>
      <c r="F14" t="s">
        <v>23</v>
      </c>
      <c r="G14" t="s">
        <v>102</v>
      </c>
      <c r="H14" t="s">
        <v>41</v>
      </c>
      <c r="I14" t="s">
        <v>26</v>
      </c>
      <c r="J14" t="s">
        <v>123</v>
      </c>
      <c r="K14" t="s">
        <v>28</v>
      </c>
      <c r="L14" t="s">
        <v>124</v>
      </c>
      <c r="M14" t="s">
        <v>125</v>
      </c>
      <c r="N14" t="s">
        <v>126</v>
      </c>
      <c r="O14" t="s">
        <v>127</v>
      </c>
      <c r="P14" t="s">
        <v>128</v>
      </c>
      <c r="Q14" t="s">
        <v>129</v>
      </c>
      <c r="R14" t="s">
        <v>130</v>
      </c>
      <c r="S14" t="s">
        <v>131</v>
      </c>
      <c r="T14">
        <v>100</v>
      </c>
      <c r="U14">
        <v>74340</v>
      </c>
      <c r="V14">
        <v>0.35799999999999998</v>
      </c>
      <c r="W14">
        <v>100.36</v>
      </c>
      <c r="X14">
        <v>2.13</v>
      </c>
      <c r="Y14">
        <v>1.17</v>
      </c>
    </row>
    <row r="15" spans="1:25" hidden="1" x14ac:dyDescent="0.3">
      <c r="A15" t="s">
        <v>97</v>
      </c>
      <c r="B15" t="s">
        <v>119</v>
      </c>
      <c r="C15" t="s">
        <v>132</v>
      </c>
      <c r="D15" t="s">
        <v>121</v>
      </c>
      <c r="E15" t="s">
        <v>122</v>
      </c>
      <c r="F15" t="s">
        <v>23</v>
      </c>
      <c r="G15" t="s">
        <v>102</v>
      </c>
      <c r="H15" t="s">
        <v>41</v>
      </c>
      <c r="I15" t="s">
        <v>26</v>
      </c>
      <c r="J15" t="s">
        <v>133</v>
      </c>
      <c r="K15" t="s">
        <v>28</v>
      </c>
      <c r="L15" t="s">
        <v>124</v>
      </c>
      <c r="M15" t="s">
        <v>125</v>
      </c>
      <c r="N15" t="s">
        <v>134</v>
      </c>
      <c r="O15" t="s">
        <v>127</v>
      </c>
      <c r="P15" t="s">
        <v>135</v>
      </c>
      <c r="Q15" t="s">
        <v>136</v>
      </c>
      <c r="R15" t="s">
        <v>130</v>
      </c>
      <c r="S15" t="s">
        <v>137</v>
      </c>
      <c r="T15">
        <v>100</v>
      </c>
      <c r="U15">
        <v>55.15</v>
      </c>
      <c r="V15">
        <v>0.35799999999999998</v>
      </c>
      <c r="W15">
        <v>100.36</v>
      </c>
      <c r="X15">
        <v>2.13</v>
      </c>
      <c r="Y15">
        <v>9.1</v>
      </c>
    </row>
    <row r="16" spans="1:25" hidden="1" x14ac:dyDescent="0.3">
      <c r="A16" t="s">
        <v>97</v>
      </c>
      <c r="B16" t="s">
        <v>138</v>
      </c>
      <c r="C16" t="s">
        <v>139</v>
      </c>
      <c r="D16" t="s">
        <v>140</v>
      </c>
      <c r="E16" t="s">
        <v>101</v>
      </c>
      <c r="F16" t="s">
        <v>23</v>
      </c>
      <c r="G16" t="s">
        <v>102</v>
      </c>
      <c r="H16" t="s">
        <v>25</v>
      </c>
      <c r="I16" t="s">
        <v>26</v>
      </c>
      <c r="J16" t="s">
        <v>141</v>
      </c>
      <c r="K16" t="s">
        <v>28</v>
      </c>
      <c r="L16" t="s">
        <v>142</v>
      </c>
      <c r="M16" t="s">
        <v>143</v>
      </c>
      <c r="N16" t="s">
        <v>144</v>
      </c>
      <c r="O16" t="s">
        <v>145</v>
      </c>
      <c r="P16" t="s">
        <v>146</v>
      </c>
      <c r="Q16" t="s">
        <v>147</v>
      </c>
      <c r="R16" t="s">
        <v>148</v>
      </c>
      <c r="S16" t="s">
        <v>149</v>
      </c>
      <c r="T16">
        <v>100</v>
      </c>
      <c r="U16">
        <v>59430</v>
      </c>
      <c r="V16">
        <v>1.732</v>
      </c>
      <c r="W16">
        <v>101.73</v>
      </c>
      <c r="X16">
        <v>5.55</v>
      </c>
      <c r="Y16">
        <v>7.58</v>
      </c>
    </row>
    <row r="17" spans="1:25" hidden="1" x14ac:dyDescent="0.3">
      <c r="A17" t="s">
        <v>97</v>
      </c>
      <c r="B17" t="s">
        <v>138</v>
      </c>
      <c r="C17" t="s">
        <v>150</v>
      </c>
      <c r="D17" t="s">
        <v>140</v>
      </c>
      <c r="E17" t="s">
        <v>101</v>
      </c>
      <c r="F17" t="s">
        <v>23</v>
      </c>
      <c r="G17" t="s">
        <v>102</v>
      </c>
      <c r="H17" t="s">
        <v>25</v>
      </c>
      <c r="I17" t="s">
        <v>26</v>
      </c>
      <c r="J17" t="s">
        <v>151</v>
      </c>
      <c r="K17" t="s">
        <v>28</v>
      </c>
      <c r="L17" t="s">
        <v>142</v>
      </c>
      <c r="M17" t="s">
        <v>143</v>
      </c>
      <c r="N17" t="s">
        <v>152</v>
      </c>
      <c r="O17" t="s">
        <v>145</v>
      </c>
      <c r="P17" t="s">
        <v>153</v>
      </c>
      <c r="Q17" t="s">
        <v>154</v>
      </c>
      <c r="R17" t="s">
        <v>155</v>
      </c>
      <c r="S17" t="s">
        <v>156</v>
      </c>
      <c r="T17">
        <v>100</v>
      </c>
      <c r="U17">
        <v>44.07</v>
      </c>
      <c r="V17">
        <v>1.732</v>
      </c>
      <c r="W17">
        <v>101.73</v>
      </c>
      <c r="X17">
        <v>5.54</v>
      </c>
      <c r="Y17">
        <v>10.029999999999999</v>
      </c>
    </row>
    <row r="18" spans="1:25" hidden="1" x14ac:dyDescent="0.3">
      <c r="A18" t="s">
        <v>97</v>
      </c>
      <c r="B18" t="s">
        <v>157</v>
      </c>
      <c r="C18" t="s">
        <v>158</v>
      </c>
      <c r="D18" t="s">
        <v>159</v>
      </c>
      <c r="E18" t="s">
        <v>160</v>
      </c>
      <c r="F18" t="s">
        <v>23</v>
      </c>
      <c r="G18" t="s">
        <v>102</v>
      </c>
      <c r="H18" t="s">
        <v>25</v>
      </c>
      <c r="I18" t="s">
        <v>26</v>
      </c>
      <c r="J18" t="s">
        <v>161</v>
      </c>
      <c r="K18" t="s">
        <v>28</v>
      </c>
      <c r="L18" t="s">
        <v>162</v>
      </c>
      <c r="M18" t="s">
        <v>163</v>
      </c>
      <c r="N18" t="s">
        <v>164</v>
      </c>
      <c r="O18" t="s">
        <v>165</v>
      </c>
      <c r="P18" t="s">
        <v>166</v>
      </c>
      <c r="Q18" t="s">
        <v>167</v>
      </c>
      <c r="R18" t="s">
        <v>168</v>
      </c>
      <c r="S18" t="s">
        <v>169</v>
      </c>
      <c r="T18">
        <v>100</v>
      </c>
      <c r="U18">
        <v>60800</v>
      </c>
      <c r="V18">
        <v>2.0310000000000001</v>
      </c>
      <c r="W18">
        <v>102.03</v>
      </c>
      <c r="X18">
        <v>4.4400000000000004</v>
      </c>
      <c r="Y18">
        <v>2.74</v>
      </c>
    </row>
    <row r="19" spans="1:25" hidden="1" x14ac:dyDescent="0.3">
      <c r="A19" t="s">
        <v>97</v>
      </c>
      <c r="B19" t="s">
        <v>157</v>
      </c>
      <c r="C19" t="s">
        <v>170</v>
      </c>
      <c r="D19" t="s">
        <v>159</v>
      </c>
      <c r="E19" t="s">
        <v>160</v>
      </c>
      <c r="F19" t="s">
        <v>23</v>
      </c>
      <c r="G19" t="s">
        <v>102</v>
      </c>
      <c r="H19" t="s">
        <v>25</v>
      </c>
      <c r="I19" t="s">
        <v>26</v>
      </c>
      <c r="J19" t="s">
        <v>171</v>
      </c>
      <c r="K19" t="s">
        <v>28</v>
      </c>
      <c r="L19" t="s">
        <v>162</v>
      </c>
      <c r="M19" t="s">
        <v>163</v>
      </c>
      <c r="N19" t="s">
        <v>172</v>
      </c>
      <c r="O19" t="s">
        <v>165</v>
      </c>
      <c r="P19" t="s">
        <v>166</v>
      </c>
      <c r="Q19" t="s">
        <v>167</v>
      </c>
      <c r="R19" t="s">
        <v>168</v>
      </c>
      <c r="S19" t="s">
        <v>169</v>
      </c>
      <c r="T19">
        <v>100</v>
      </c>
      <c r="U19">
        <v>45.3</v>
      </c>
      <c r="V19">
        <v>2.0310000000000001</v>
      </c>
      <c r="W19">
        <v>102.03</v>
      </c>
      <c r="X19">
        <v>4.4400000000000004</v>
      </c>
      <c r="Y19">
        <v>2.74</v>
      </c>
    </row>
    <row r="20" spans="1:25" hidden="1" x14ac:dyDescent="0.3">
      <c r="A20" t="s">
        <v>97</v>
      </c>
      <c r="B20" t="s">
        <v>173</v>
      </c>
      <c r="C20" t="s">
        <v>174</v>
      </c>
      <c r="D20" t="s">
        <v>175</v>
      </c>
      <c r="E20" t="s">
        <v>176</v>
      </c>
      <c r="F20" t="s">
        <v>23</v>
      </c>
      <c r="G20" t="s">
        <v>102</v>
      </c>
      <c r="H20" t="s">
        <v>25</v>
      </c>
      <c r="I20" t="s">
        <v>26</v>
      </c>
      <c r="J20" t="s">
        <v>177</v>
      </c>
      <c r="K20" t="s">
        <v>28</v>
      </c>
      <c r="L20" t="s">
        <v>178</v>
      </c>
      <c r="M20" t="s">
        <v>179</v>
      </c>
      <c r="N20" t="s">
        <v>180</v>
      </c>
      <c r="O20" t="s">
        <v>181</v>
      </c>
      <c r="P20" t="s">
        <v>182</v>
      </c>
      <c r="Q20" t="s">
        <v>183</v>
      </c>
      <c r="R20" t="s">
        <v>148</v>
      </c>
      <c r="S20" t="s">
        <v>184</v>
      </c>
      <c r="T20">
        <v>100</v>
      </c>
      <c r="U20">
        <v>55380</v>
      </c>
      <c r="V20">
        <v>1.6719999999999999</v>
      </c>
      <c r="W20">
        <v>101.67</v>
      </c>
      <c r="X20">
        <v>5.55</v>
      </c>
      <c r="Y20">
        <v>3.13</v>
      </c>
    </row>
    <row r="21" spans="1:25" hidden="1" x14ac:dyDescent="0.3">
      <c r="A21" t="s">
        <v>97</v>
      </c>
      <c r="B21" t="s">
        <v>173</v>
      </c>
      <c r="C21" t="s">
        <v>185</v>
      </c>
      <c r="D21" t="s">
        <v>175</v>
      </c>
      <c r="E21" t="s">
        <v>176</v>
      </c>
      <c r="F21" t="s">
        <v>23</v>
      </c>
      <c r="G21" t="s">
        <v>102</v>
      </c>
      <c r="H21" t="s">
        <v>25</v>
      </c>
      <c r="I21" t="s">
        <v>26</v>
      </c>
      <c r="J21" t="s">
        <v>186</v>
      </c>
      <c r="K21" t="s">
        <v>28</v>
      </c>
      <c r="L21" t="s">
        <v>178</v>
      </c>
      <c r="M21" t="s">
        <v>179</v>
      </c>
      <c r="N21" t="s">
        <v>187</v>
      </c>
      <c r="O21" t="s">
        <v>181</v>
      </c>
      <c r="P21" t="s">
        <v>188</v>
      </c>
      <c r="Q21" t="s">
        <v>189</v>
      </c>
      <c r="R21" t="s">
        <v>190</v>
      </c>
      <c r="S21" t="s">
        <v>184</v>
      </c>
      <c r="T21">
        <v>100</v>
      </c>
      <c r="U21">
        <v>41.39</v>
      </c>
      <c r="V21">
        <v>1.6719999999999999</v>
      </c>
      <c r="W21">
        <v>101.67</v>
      </c>
      <c r="X21">
        <v>5.56</v>
      </c>
      <c r="Y21">
        <v>3.13</v>
      </c>
    </row>
    <row r="22" spans="1:25" hidden="1" x14ac:dyDescent="0.3">
      <c r="A22" t="s">
        <v>191</v>
      </c>
      <c r="B22" t="s">
        <v>192</v>
      </c>
      <c r="C22" t="s">
        <v>193</v>
      </c>
      <c r="D22" t="s">
        <v>100</v>
      </c>
      <c r="E22" t="s">
        <v>101</v>
      </c>
      <c r="F22" t="s">
        <v>23</v>
      </c>
      <c r="G22" t="s">
        <v>102</v>
      </c>
      <c r="H22" t="s">
        <v>25</v>
      </c>
      <c r="I22" t="s">
        <v>26</v>
      </c>
      <c r="J22" t="s">
        <v>194</v>
      </c>
      <c r="K22" t="s">
        <v>28</v>
      </c>
      <c r="L22" t="s">
        <v>104</v>
      </c>
      <c r="M22" t="s">
        <v>105</v>
      </c>
      <c r="N22" t="s">
        <v>195</v>
      </c>
      <c r="O22" t="s">
        <v>107</v>
      </c>
      <c r="P22" t="s">
        <v>196</v>
      </c>
      <c r="Q22" t="s">
        <v>197</v>
      </c>
      <c r="R22" t="s">
        <v>198</v>
      </c>
      <c r="S22" t="s">
        <v>137</v>
      </c>
      <c r="T22">
        <v>100</v>
      </c>
      <c r="U22">
        <v>77770</v>
      </c>
      <c r="V22">
        <v>0.47799999999999998</v>
      </c>
      <c r="W22">
        <v>100.48</v>
      </c>
      <c r="X22">
        <v>2.0099999999999998</v>
      </c>
      <c r="Y22">
        <v>9.1</v>
      </c>
    </row>
    <row r="23" spans="1:25" hidden="1" x14ac:dyDescent="0.3">
      <c r="A23" t="s">
        <v>191</v>
      </c>
      <c r="B23" t="s">
        <v>192</v>
      </c>
      <c r="C23" t="s">
        <v>199</v>
      </c>
      <c r="D23" t="s">
        <v>100</v>
      </c>
      <c r="E23" t="s">
        <v>101</v>
      </c>
      <c r="F23" t="s">
        <v>23</v>
      </c>
      <c r="G23" t="s">
        <v>102</v>
      </c>
      <c r="H23" t="s">
        <v>25</v>
      </c>
      <c r="I23" t="s">
        <v>26</v>
      </c>
      <c r="J23" t="s">
        <v>200</v>
      </c>
      <c r="K23" t="s">
        <v>28</v>
      </c>
      <c r="L23" t="s">
        <v>104</v>
      </c>
      <c r="M23" t="s">
        <v>105</v>
      </c>
      <c r="N23" t="s">
        <v>201</v>
      </c>
      <c r="O23" t="s">
        <v>107</v>
      </c>
      <c r="P23" t="s">
        <v>202</v>
      </c>
      <c r="Q23" t="s">
        <v>203</v>
      </c>
      <c r="R23" t="s">
        <v>198</v>
      </c>
      <c r="S23" t="s">
        <v>149</v>
      </c>
      <c r="T23">
        <v>100</v>
      </c>
      <c r="U23">
        <v>58.14</v>
      </c>
      <c r="V23">
        <v>0.47799999999999998</v>
      </c>
      <c r="W23">
        <v>100.48</v>
      </c>
      <c r="X23">
        <v>2.0099999999999998</v>
      </c>
      <c r="Y23">
        <v>7.58</v>
      </c>
    </row>
    <row r="24" spans="1:25" hidden="1" x14ac:dyDescent="0.3">
      <c r="A24" t="s">
        <v>191</v>
      </c>
      <c r="B24" t="s">
        <v>204</v>
      </c>
      <c r="C24" t="s">
        <v>205</v>
      </c>
      <c r="D24" t="s">
        <v>121</v>
      </c>
      <c r="E24" t="s">
        <v>122</v>
      </c>
      <c r="F24" t="s">
        <v>23</v>
      </c>
      <c r="G24" t="s">
        <v>102</v>
      </c>
      <c r="H24" t="s">
        <v>41</v>
      </c>
      <c r="I24" t="s">
        <v>26</v>
      </c>
      <c r="J24" t="s">
        <v>206</v>
      </c>
      <c r="K24" t="s">
        <v>28</v>
      </c>
      <c r="L24" t="s">
        <v>124</v>
      </c>
      <c r="M24" t="s">
        <v>125</v>
      </c>
      <c r="N24" t="s">
        <v>207</v>
      </c>
      <c r="O24" t="s">
        <v>127</v>
      </c>
      <c r="P24" t="s">
        <v>208</v>
      </c>
      <c r="Q24" t="s">
        <v>209</v>
      </c>
      <c r="R24" t="s">
        <v>210</v>
      </c>
      <c r="S24" t="s">
        <v>211</v>
      </c>
      <c r="T24">
        <v>100</v>
      </c>
      <c r="U24">
        <v>76540</v>
      </c>
      <c r="V24">
        <v>0.35799999999999998</v>
      </c>
      <c r="W24">
        <v>100.36</v>
      </c>
      <c r="X24">
        <v>2.1800000000000002</v>
      </c>
      <c r="Y24">
        <v>1.35</v>
      </c>
    </row>
    <row r="25" spans="1:25" hidden="1" x14ac:dyDescent="0.3">
      <c r="A25" t="s">
        <v>191</v>
      </c>
      <c r="B25" t="s">
        <v>204</v>
      </c>
      <c r="C25" t="s">
        <v>212</v>
      </c>
      <c r="D25" t="s">
        <v>121</v>
      </c>
      <c r="E25" t="s">
        <v>122</v>
      </c>
      <c r="F25" t="s">
        <v>23</v>
      </c>
      <c r="G25" t="s">
        <v>102</v>
      </c>
      <c r="H25" t="s">
        <v>41</v>
      </c>
      <c r="I25" t="s">
        <v>26</v>
      </c>
      <c r="J25" t="s">
        <v>213</v>
      </c>
      <c r="K25" t="s">
        <v>28</v>
      </c>
      <c r="L25" t="s">
        <v>124</v>
      </c>
      <c r="M25" t="s">
        <v>125</v>
      </c>
      <c r="N25" t="s">
        <v>214</v>
      </c>
      <c r="O25" t="s">
        <v>127</v>
      </c>
      <c r="P25" t="s">
        <v>215</v>
      </c>
      <c r="Q25" t="s">
        <v>216</v>
      </c>
      <c r="R25" t="s">
        <v>217</v>
      </c>
      <c r="S25" t="s">
        <v>118</v>
      </c>
      <c r="T25">
        <v>100</v>
      </c>
      <c r="U25">
        <v>56.76</v>
      </c>
      <c r="V25">
        <v>0.35799999999999998</v>
      </c>
      <c r="W25">
        <v>100.36</v>
      </c>
      <c r="X25">
        <v>2.17</v>
      </c>
      <c r="Y25">
        <v>7.22</v>
      </c>
    </row>
    <row r="26" spans="1:25" hidden="1" x14ac:dyDescent="0.3">
      <c r="A26" t="s">
        <v>191</v>
      </c>
      <c r="B26" t="s">
        <v>218</v>
      </c>
      <c r="C26" t="s">
        <v>219</v>
      </c>
      <c r="D26" t="s">
        <v>140</v>
      </c>
      <c r="E26" t="s">
        <v>101</v>
      </c>
      <c r="F26" t="s">
        <v>23</v>
      </c>
      <c r="G26" t="s">
        <v>102</v>
      </c>
      <c r="H26" t="s">
        <v>25</v>
      </c>
      <c r="I26" t="s">
        <v>26</v>
      </c>
      <c r="J26" t="s">
        <v>220</v>
      </c>
      <c r="K26" t="s">
        <v>28</v>
      </c>
      <c r="L26" t="s">
        <v>142</v>
      </c>
      <c r="M26" t="s">
        <v>143</v>
      </c>
      <c r="N26" t="s">
        <v>221</v>
      </c>
      <c r="O26" t="s">
        <v>145</v>
      </c>
      <c r="P26" t="s">
        <v>222</v>
      </c>
      <c r="Q26" t="s">
        <v>223</v>
      </c>
      <c r="R26" t="s">
        <v>148</v>
      </c>
      <c r="S26" t="s">
        <v>224</v>
      </c>
      <c r="T26">
        <v>100</v>
      </c>
      <c r="U26">
        <v>59400</v>
      </c>
      <c r="V26">
        <v>1.732</v>
      </c>
      <c r="W26">
        <v>101.73</v>
      </c>
      <c r="X26">
        <v>5.55</v>
      </c>
      <c r="Y26">
        <v>2.3199999999999998</v>
      </c>
    </row>
    <row r="27" spans="1:25" hidden="1" x14ac:dyDescent="0.3">
      <c r="A27" t="s">
        <v>191</v>
      </c>
      <c r="B27" t="s">
        <v>218</v>
      </c>
      <c r="C27" t="s">
        <v>225</v>
      </c>
      <c r="D27" t="s">
        <v>140</v>
      </c>
      <c r="E27" t="s">
        <v>101</v>
      </c>
      <c r="F27" t="s">
        <v>23</v>
      </c>
      <c r="G27" t="s">
        <v>102</v>
      </c>
      <c r="H27" t="s">
        <v>25</v>
      </c>
      <c r="I27" t="s">
        <v>26</v>
      </c>
      <c r="J27" t="s">
        <v>226</v>
      </c>
      <c r="K27" t="s">
        <v>28</v>
      </c>
      <c r="L27" t="s">
        <v>142</v>
      </c>
      <c r="M27" t="s">
        <v>143</v>
      </c>
      <c r="N27" t="s">
        <v>227</v>
      </c>
      <c r="O27" t="s">
        <v>145</v>
      </c>
      <c r="P27" t="s">
        <v>228</v>
      </c>
      <c r="Q27" t="s">
        <v>229</v>
      </c>
      <c r="R27" t="s">
        <v>155</v>
      </c>
      <c r="S27" t="s">
        <v>137</v>
      </c>
      <c r="T27">
        <v>100</v>
      </c>
      <c r="U27">
        <v>44.1</v>
      </c>
      <c r="V27">
        <v>1.732</v>
      </c>
      <c r="W27">
        <v>101.73</v>
      </c>
      <c r="X27">
        <v>5.54</v>
      </c>
      <c r="Y27">
        <v>9.1</v>
      </c>
    </row>
    <row r="28" spans="1:25" hidden="1" x14ac:dyDescent="0.3">
      <c r="A28" t="s">
        <v>191</v>
      </c>
      <c r="B28" t="s">
        <v>230</v>
      </c>
      <c r="C28" t="s">
        <v>231</v>
      </c>
      <c r="D28" t="s">
        <v>159</v>
      </c>
      <c r="E28" t="s">
        <v>160</v>
      </c>
      <c r="F28" t="s">
        <v>23</v>
      </c>
      <c r="G28" t="s">
        <v>102</v>
      </c>
      <c r="H28" t="s">
        <v>25</v>
      </c>
      <c r="I28" t="s">
        <v>26</v>
      </c>
      <c r="J28" t="s">
        <v>232</v>
      </c>
      <c r="K28" t="s">
        <v>28</v>
      </c>
      <c r="L28" t="s">
        <v>162</v>
      </c>
      <c r="M28" t="s">
        <v>163</v>
      </c>
      <c r="N28" t="s">
        <v>233</v>
      </c>
      <c r="O28" t="s">
        <v>165</v>
      </c>
      <c r="P28" t="s">
        <v>234</v>
      </c>
      <c r="Q28" t="s">
        <v>235</v>
      </c>
      <c r="R28" t="s">
        <v>236</v>
      </c>
      <c r="S28" t="s">
        <v>169</v>
      </c>
      <c r="T28">
        <v>100</v>
      </c>
      <c r="U28">
        <v>65190</v>
      </c>
      <c r="V28">
        <v>2.0310000000000001</v>
      </c>
      <c r="W28">
        <v>102.03</v>
      </c>
      <c r="X28">
        <v>4.6100000000000003</v>
      </c>
      <c r="Y28">
        <v>2.74</v>
      </c>
    </row>
    <row r="29" spans="1:25" hidden="1" x14ac:dyDescent="0.3">
      <c r="A29" t="s">
        <v>191</v>
      </c>
      <c r="B29" t="s">
        <v>230</v>
      </c>
      <c r="C29" t="s">
        <v>237</v>
      </c>
      <c r="D29" t="s">
        <v>159</v>
      </c>
      <c r="E29" t="s">
        <v>160</v>
      </c>
      <c r="F29" t="s">
        <v>23</v>
      </c>
      <c r="G29" t="s">
        <v>102</v>
      </c>
      <c r="H29" t="s">
        <v>25</v>
      </c>
      <c r="I29" t="s">
        <v>26</v>
      </c>
      <c r="J29" t="s">
        <v>238</v>
      </c>
      <c r="K29" t="s">
        <v>28</v>
      </c>
      <c r="L29" t="s">
        <v>162</v>
      </c>
      <c r="M29" t="s">
        <v>163</v>
      </c>
      <c r="N29" t="s">
        <v>239</v>
      </c>
      <c r="O29" t="s">
        <v>165</v>
      </c>
      <c r="P29" t="s">
        <v>240</v>
      </c>
      <c r="Q29" t="s">
        <v>241</v>
      </c>
      <c r="R29" t="s">
        <v>242</v>
      </c>
      <c r="S29" t="s">
        <v>169</v>
      </c>
      <c r="T29">
        <v>100</v>
      </c>
      <c r="U29">
        <v>48</v>
      </c>
      <c r="V29">
        <v>2.0310000000000001</v>
      </c>
      <c r="W29">
        <v>102.03</v>
      </c>
      <c r="X29">
        <v>4.58</v>
      </c>
      <c r="Y29">
        <v>2.74</v>
      </c>
    </row>
    <row r="30" spans="1:25" hidden="1" x14ac:dyDescent="0.3">
      <c r="A30" t="s">
        <v>191</v>
      </c>
      <c r="B30" t="s">
        <v>243</v>
      </c>
      <c r="C30" t="s">
        <v>244</v>
      </c>
      <c r="D30" t="s">
        <v>175</v>
      </c>
      <c r="E30" t="s">
        <v>176</v>
      </c>
      <c r="F30" t="s">
        <v>23</v>
      </c>
      <c r="G30" t="s">
        <v>102</v>
      </c>
      <c r="H30" t="s">
        <v>25</v>
      </c>
      <c r="I30" t="s">
        <v>26</v>
      </c>
      <c r="J30" t="s">
        <v>245</v>
      </c>
      <c r="K30" t="s">
        <v>28</v>
      </c>
      <c r="L30" t="s">
        <v>178</v>
      </c>
      <c r="M30" t="s">
        <v>179</v>
      </c>
      <c r="N30" t="s">
        <v>246</v>
      </c>
      <c r="O30" t="s">
        <v>181</v>
      </c>
      <c r="P30" t="s">
        <v>247</v>
      </c>
      <c r="Q30" t="s">
        <v>248</v>
      </c>
      <c r="R30" t="s">
        <v>190</v>
      </c>
      <c r="S30" t="s">
        <v>184</v>
      </c>
      <c r="T30">
        <v>100</v>
      </c>
      <c r="U30">
        <v>55710</v>
      </c>
      <c r="V30">
        <v>1.6719999999999999</v>
      </c>
      <c r="W30">
        <v>101.67</v>
      </c>
      <c r="X30">
        <v>5.56</v>
      </c>
      <c r="Y30">
        <v>3.13</v>
      </c>
    </row>
    <row r="31" spans="1:25" hidden="1" x14ac:dyDescent="0.3">
      <c r="A31" t="s">
        <v>191</v>
      </c>
      <c r="B31" t="s">
        <v>243</v>
      </c>
      <c r="C31" t="s">
        <v>249</v>
      </c>
      <c r="D31" t="s">
        <v>175</v>
      </c>
      <c r="E31" t="s">
        <v>176</v>
      </c>
      <c r="F31" t="s">
        <v>23</v>
      </c>
      <c r="G31" t="s">
        <v>102</v>
      </c>
      <c r="H31" t="s">
        <v>25</v>
      </c>
      <c r="I31" t="s">
        <v>26</v>
      </c>
      <c r="J31" t="s">
        <v>250</v>
      </c>
      <c r="K31" t="s">
        <v>28</v>
      </c>
      <c r="L31" t="s">
        <v>178</v>
      </c>
      <c r="M31" t="s">
        <v>179</v>
      </c>
      <c r="N31" t="s">
        <v>251</v>
      </c>
      <c r="O31" t="s">
        <v>181</v>
      </c>
      <c r="P31" t="s">
        <v>252</v>
      </c>
      <c r="Q31" t="s">
        <v>253</v>
      </c>
      <c r="R31" t="s">
        <v>254</v>
      </c>
      <c r="S31" t="s">
        <v>184</v>
      </c>
      <c r="T31">
        <v>100</v>
      </c>
      <c r="U31">
        <v>40.5</v>
      </c>
      <c r="V31">
        <v>1.6719999999999999</v>
      </c>
      <c r="W31">
        <v>101.67</v>
      </c>
      <c r="X31">
        <v>5.49</v>
      </c>
      <c r="Y31">
        <v>3.13</v>
      </c>
    </row>
    <row r="32" spans="1:25" hidden="1" x14ac:dyDescent="0.3">
      <c r="A32" t="s">
        <v>191</v>
      </c>
      <c r="B32" t="s">
        <v>255</v>
      </c>
      <c r="C32" t="s">
        <v>256</v>
      </c>
      <c r="D32" t="s">
        <v>257</v>
      </c>
      <c r="E32" t="s">
        <v>258</v>
      </c>
      <c r="F32" t="s">
        <v>23</v>
      </c>
      <c r="G32" t="s">
        <v>102</v>
      </c>
      <c r="H32" t="s">
        <v>25</v>
      </c>
      <c r="I32" t="s">
        <v>26</v>
      </c>
      <c r="J32" t="s">
        <v>259</v>
      </c>
      <c r="K32" t="s">
        <v>28</v>
      </c>
      <c r="L32" t="s">
        <v>142</v>
      </c>
      <c r="M32" t="s">
        <v>143</v>
      </c>
      <c r="N32" t="s">
        <v>144</v>
      </c>
      <c r="O32" t="s">
        <v>145</v>
      </c>
      <c r="P32" t="s">
        <v>260</v>
      </c>
      <c r="Q32" t="s">
        <v>261</v>
      </c>
      <c r="R32" t="s">
        <v>262</v>
      </c>
      <c r="S32" t="s">
        <v>149</v>
      </c>
      <c r="T32">
        <v>100</v>
      </c>
      <c r="U32">
        <v>61890</v>
      </c>
      <c r="V32">
        <v>1.732</v>
      </c>
      <c r="W32">
        <v>101.73</v>
      </c>
      <c r="X32">
        <v>4.59</v>
      </c>
      <c r="Y32">
        <v>7.58</v>
      </c>
    </row>
    <row r="33" spans="1:25" hidden="1" x14ac:dyDescent="0.3">
      <c r="A33" t="s">
        <v>263</v>
      </c>
      <c r="B33" t="s">
        <v>264</v>
      </c>
      <c r="C33" t="s">
        <v>265</v>
      </c>
      <c r="D33" t="s">
        <v>266</v>
      </c>
      <c r="E33" t="s">
        <v>267</v>
      </c>
      <c r="F33" t="s">
        <v>23</v>
      </c>
      <c r="G33" t="s">
        <v>268</v>
      </c>
      <c r="H33" t="s">
        <v>25</v>
      </c>
      <c r="I33" t="s">
        <v>26</v>
      </c>
      <c r="J33" t="s">
        <v>269</v>
      </c>
      <c r="K33" t="s">
        <v>28</v>
      </c>
      <c r="L33" t="s">
        <v>270</v>
      </c>
      <c r="M33" t="s">
        <v>271</v>
      </c>
      <c r="N33" t="s">
        <v>272</v>
      </c>
      <c r="O33" t="s">
        <v>273</v>
      </c>
      <c r="P33" t="s">
        <v>274</v>
      </c>
      <c r="Q33" t="s">
        <v>275</v>
      </c>
      <c r="R33" t="s">
        <v>276</v>
      </c>
      <c r="S33" t="s">
        <v>277</v>
      </c>
      <c r="T33">
        <v>100</v>
      </c>
      <c r="U33">
        <v>63.75</v>
      </c>
      <c r="V33">
        <v>3.1859999999999999</v>
      </c>
      <c r="W33">
        <v>103.19</v>
      </c>
      <c r="X33">
        <v>1.48</v>
      </c>
      <c r="Y33">
        <v>1.02</v>
      </c>
    </row>
    <row r="34" spans="1:25" x14ac:dyDescent="0.3">
      <c r="A34" t="s">
        <v>278</v>
      </c>
      <c r="B34" t="s">
        <v>279</v>
      </c>
      <c r="C34" t="s">
        <v>280</v>
      </c>
      <c r="D34" s="8">
        <v>45495</v>
      </c>
      <c r="E34" t="s">
        <v>267</v>
      </c>
      <c r="F34" t="s">
        <v>23</v>
      </c>
      <c r="G34" t="s">
        <v>281</v>
      </c>
      <c r="H34" t="s">
        <v>41</v>
      </c>
      <c r="I34" t="s">
        <v>26</v>
      </c>
      <c r="J34" t="s">
        <v>282</v>
      </c>
      <c r="K34" t="s">
        <v>28</v>
      </c>
      <c r="L34" t="s">
        <v>162</v>
      </c>
      <c r="M34" t="s">
        <v>283</v>
      </c>
      <c r="N34" t="s">
        <v>284</v>
      </c>
      <c r="O34" t="s">
        <v>285</v>
      </c>
      <c r="P34" t="s">
        <v>286</v>
      </c>
      <c r="Q34" t="s">
        <v>287</v>
      </c>
      <c r="R34" t="s">
        <v>288</v>
      </c>
      <c r="S34" t="s">
        <v>289</v>
      </c>
      <c r="T34">
        <v>100</v>
      </c>
      <c r="U34">
        <v>411</v>
      </c>
      <c r="V34">
        <v>0.85899999999999999</v>
      </c>
      <c r="W34">
        <v>405.22</v>
      </c>
      <c r="X34">
        <v>0.46</v>
      </c>
      <c r="Y34">
        <v>0.45</v>
      </c>
    </row>
    <row r="35" spans="1:25" x14ac:dyDescent="0.3">
      <c r="A35" t="s">
        <v>278</v>
      </c>
      <c r="B35" t="s">
        <v>290</v>
      </c>
      <c r="C35" t="s">
        <v>291</v>
      </c>
      <c r="D35" s="8">
        <v>45499</v>
      </c>
      <c r="E35" t="s">
        <v>267</v>
      </c>
      <c r="F35" t="s">
        <v>23</v>
      </c>
      <c r="G35" t="s">
        <v>292</v>
      </c>
      <c r="H35" t="s">
        <v>41</v>
      </c>
      <c r="I35" t="s">
        <v>26</v>
      </c>
      <c r="J35" t="s">
        <v>293</v>
      </c>
      <c r="K35" t="s">
        <v>28</v>
      </c>
      <c r="L35" t="s">
        <v>294</v>
      </c>
      <c r="M35" t="s">
        <v>295</v>
      </c>
      <c r="N35" t="s">
        <v>296</v>
      </c>
      <c r="O35" t="s">
        <v>297</v>
      </c>
      <c r="P35" t="s">
        <v>298</v>
      </c>
      <c r="Q35" t="s">
        <v>299</v>
      </c>
      <c r="R35" t="s">
        <v>300</v>
      </c>
      <c r="S35" t="s">
        <v>300</v>
      </c>
      <c r="T35">
        <v>100</v>
      </c>
      <c r="U35">
        <v>1543</v>
      </c>
      <c r="V35">
        <v>10.090999999999999</v>
      </c>
      <c r="W35">
        <v>1522.21</v>
      </c>
      <c r="X35">
        <v>7.0000000000000007E-2</v>
      </c>
      <c r="Y35">
        <v>7.0000000000000007E-2</v>
      </c>
    </row>
    <row r="36" spans="1:25" x14ac:dyDescent="0.3">
      <c r="A36" t="s">
        <v>278</v>
      </c>
      <c r="B36" t="s">
        <v>301</v>
      </c>
      <c r="C36" t="s">
        <v>302</v>
      </c>
      <c r="D36" s="8">
        <v>45579</v>
      </c>
      <c r="E36" t="s">
        <v>267</v>
      </c>
      <c r="F36" t="s">
        <v>23</v>
      </c>
      <c r="G36" t="s">
        <v>303</v>
      </c>
      <c r="H36" t="s">
        <v>41</v>
      </c>
      <c r="I36" t="s">
        <v>26</v>
      </c>
      <c r="J36" t="s">
        <v>304</v>
      </c>
      <c r="K36" t="s">
        <v>28</v>
      </c>
      <c r="L36" t="s">
        <v>305</v>
      </c>
      <c r="M36" t="s">
        <v>306</v>
      </c>
      <c r="N36" t="s">
        <v>307</v>
      </c>
      <c r="O36" t="s">
        <v>308</v>
      </c>
      <c r="P36" t="s">
        <v>309</v>
      </c>
      <c r="Q36" t="s">
        <v>310</v>
      </c>
      <c r="R36" t="s">
        <v>311</v>
      </c>
      <c r="S36" t="s">
        <v>311</v>
      </c>
      <c r="T36">
        <v>100</v>
      </c>
      <c r="U36">
        <v>510.2</v>
      </c>
      <c r="V36">
        <v>4.2610000000000001</v>
      </c>
      <c r="W36">
        <v>502.29</v>
      </c>
      <c r="X36">
        <v>0.28999999999999998</v>
      </c>
      <c r="Y36">
        <v>0.28999999999999998</v>
      </c>
    </row>
    <row r="37" spans="1:25" x14ac:dyDescent="0.3">
      <c r="A37" t="s">
        <v>278</v>
      </c>
      <c r="B37" t="s">
        <v>312</v>
      </c>
      <c r="C37" t="s">
        <v>313</v>
      </c>
      <c r="D37" s="8">
        <v>45702</v>
      </c>
      <c r="E37" t="s">
        <v>267</v>
      </c>
      <c r="F37" t="s">
        <v>23</v>
      </c>
      <c r="G37" t="s">
        <v>314</v>
      </c>
      <c r="H37" t="s">
        <v>25</v>
      </c>
      <c r="I37" t="s">
        <v>26</v>
      </c>
      <c r="J37" t="s">
        <v>315</v>
      </c>
      <c r="K37" t="s">
        <v>28</v>
      </c>
      <c r="L37" t="s">
        <v>162</v>
      </c>
      <c r="M37" t="s">
        <v>316</v>
      </c>
      <c r="N37" t="s">
        <v>317</v>
      </c>
      <c r="O37" t="s">
        <v>318</v>
      </c>
      <c r="P37" t="s">
        <v>319</v>
      </c>
      <c r="Q37" t="s">
        <v>320</v>
      </c>
      <c r="R37" t="s">
        <v>321</v>
      </c>
      <c r="S37" t="s">
        <v>322</v>
      </c>
      <c r="T37">
        <v>100</v>
      </c>
      <c r="U37">
        <v>509.6</v>
      </c>
      <c r="V37">
        <v>8.0549999999999997</v>
      </c>
      <c r="W37">
        <v>506.08</v>
      </c>
      <c r="X37">
        <v>0.6</v>
      </c>
      <c r="Y37">
        <v>0.61</v>
      </c>
    </row>
    <row r="38" spans="1:25" x14ac:dyDescent="0.3">
      <c r="A38" t="s">
        <v>278</v>
      </c>
      <c r="B38" t="s">
        <v>323</v>
      </c>
      <c r="C38" t="s">
        <v>324</v>
      </c>
      <c r="D38" s="8">
        <v>45774</v>
      </c>
      <c r="E38" t="s">
        <v>267</v>
      </c>
      <c r="F38" t="s">
        <v>23</v>
      </c>
      <c r="G38" t="s">
        <v>325</v>
      </c>
      <c r="H38" t="s">
        <v>25</v>
      </c>
      <c r="I38" t="s">
        <v>26</v>
      </c>
      <c r="J38" t="s">
        <v>326</v>
      </c>
      <c r="K38" t="s">
        <v>28</v>
      </c>
      <c r="L38" t="s">
        <v>305</v>
      </c>
      <c r="M38" t="s">
        <v>327</v>
      </c>
      <c r="N38" t="s">
        <v>328</v>
      </c>
      <c r="O38" t="s">
        <v>329</v>
      </c>
      <c r="P38" t="s">
        <v>330</v>
      </c>
      <c r="Q38" t="s">
        <v>331</v>
      </c>
      <c r="R38" t="s">
        <v>332</v>
      </c>
      <c r="S38" t="s">
        <v>333</v>
      </c>
      <c r="T38">
        <v>100</v>
      </c>
      <c r="U38">
        <v>4520</v>
      </c>
      <c r="V38">
        <v>31.742999999999999</v>
      </c>
      <c r="W38">
        <v>4495.54</v>
      </c>
      <c r="X38">
        <v>0.8</v>
      </c>
      <c r="Y38">
        <v>0.81</v>
      </c>
    </row>
    <row r="39" spans="1:25" x14ac:dyDescent="0.3">
      <c r="A39" t="s">
        <v>278</v>
      </c>
      <c r="B39" t="s">
        <v>334</v>
      </c>
      <c r="C39" t="s">
        <v>335</v>
      </c>
      <c r="D39" s="8">
        <v>45970</v>
      </c>
      <c r="E39" t="s">
        <v>267</v>
      </c>
      <c r="F39" t="s">
        <v>23</v>
      </c>
      <c r="G39" t="s">
        <v>336</v>
      </c>
      <c r="H39" t="s">
        <v>25</v>
      </c>
      <c r="I39" t="s">
        <v>26</v>
      </c>
      <c r="J39" t="s">
        <v>337</v>
      </c>
      <c r="K39" t="s">
        <v>28</v>
      </c>
      <c r="L39" t="s">
        <v>338</v>
      </c>
      <c r="M39" t="s">
        <v>339</v>
      </c>
      <c r="N39" t="s">
        <v>340</v>
      </c>
      <c r="O39" t="s">
        <v>341</v>
      </c>
      <c r="P39" t="s">
        <v>342</v>
      </c>
      <c r="Q39" t="s">
        <v>343</v>
      </c>
      <c r="R39" t="s">
        <v>344</v>
      </c>
      <c r="S39" t="s">
        <v>211</v>
      </c>
      <c r="T39">
        <v>100</v>
      </c>
      <c r="U39">
        <v>850</v>
      </c>
      <c r="V39">
        <v>2.2759999999999998</v>
      </c>
      <c r="W39">
        <v>877.69</v>
      </c>
      <c r="X39">
        <v>1.32</v>
      </c>
      <c r="Y39">
        <v>1.35</v>
      </c>
    </row>
    <row r="40" spans="1:25" x14ac:dyDescent="0.3">
      <c r="A40" t="s">
        <v>278</v>
      </c>
      <c r="B40" t="s">
        <v>345</v>
      </c>
      <c r="C40" t="s">
        <v>346</v>
      </c>
      <c r="D40" s="8">
        <v>46335</v>
      </c>
      <c r="E40" t="s">
        <v>347</v>
      </c>
      <c r="F40" t="s">
        <v>23</v>
      </c>
      <c r="G40" t="s">
        <v>336</v>
      </c>
      <c r="H40" t="s">
        <v>41</v>
      </c>
      <c r="I40" t="s">
        <v>26</v>
      </c>
      <c r="J40" t="s">
        <v>348</v>
      </c>
      <c r="K40" t="s">
        <v>28</v>
      </c>
      <c r="L40" t="s">
        <v>349</v>
      </c>
      <c r="M40" t="s">
        <v>350</v>
      </c>
      <c r="N40" t="s">
        <v>207</v>
      </c>
      <c r="O40" t="s">
        <v>351</v>
      </c>
      <c r="P40" t="s">
        <v>352</v>
      </c>
      <c r="Q40" t="s">
        <v>353</v>
      </c>
      <c r="R40" t="s">
        <v>354</v>
      </c>
      <c r="S40" t="s">
        <v>211</v>
      </c>
      <c r="T40">
        <v>100</v>
      </c>
      <c r="U40">
        <v>1729</v>
      </c>
      <c r="V40">
        <v>5.1840000000000002</v>
      </c>
      <c r="W40">
        <v>1799.52</v>
      </c>
      <c r="X40">
        <v>1.29</v>
      </c>
      <c r="Y40">
        <v>1.35</v>
      </c>
    </row>
    <row r="41" spans="1:25" x14ac:dyDescent="0.3">
      <c r="A41" t="s">
        <v>278</v>
      </c>
      <c r="B41" t="s">
        <v>355</v>
      </c>
      <c r="C41" t="s">
        <v>356</v>
      </c>
      <c r="D41" s="8">
        <v>47066</v>
      </c>
      <c r="E41" t="s">
        <v>101</v>
      </c>
      <c r="F41" t="s">
        <v>23</v>
      </c>
      <c r="G41" t="s">
        <v>336</v>
      </c>
      <c r="H41" t="s">
        <v>41</v>
      </c>
      <c r="I41" t="s">
        <v>357</v>
      </c>
      <c r="J41" t="s">
        <v>358</v>
      </c>
      <c r="K41" t="s">
        <v>28</v>
      </c>
      <c r="L41" t="s">
        <v>359</v>
      </c>
      <c r="M41" t="s">
        <v>360</v>
      </c>
      <c r="N41" t="s">
        <v>221</v>
      </c>
      <c r="O41" t="s">
        <v>361</v>
      </c>
      <c r="P41" t="s">
        <v>362</v>
      </c>
      <c r="Q41" t="s">
        <v>363</v>
      </c>
      <c r="R41" t="s">
        <v>364</v>
      </c>
      <c r="S41" t="s">
        <v>224</v>
      </c>
      <c r="T41">
        <v>90</v>
      </c>
      <c r="U41">
        <v>1488</v>
      </c>
      <c r="V41">
        <v>5.2480000000000002</v>
      </c>
      <c r="W41">
        <v>1799.58</v>
      </c>
      <c r="X41">
        <v>2.16</v>
      </c>
      <c r="Y41">
        <v>2.3199999999999998</v>
      </c>
    </row>
    <row r="42" spans="1:25" x14ac:dyDescent="0.3">
      <c r="A42" t="s">
        <v>278</v>
      </c>
      <c r="B42" t="s">
        <v>365</v>
      </c>
      <c r="C42" t="s">
        <v>366</v>
      </c>
      <c r="D42" s="8">
        <v>48182</v>
      </c>
      <c r="E42" t="s">
        <v>101</v>
      </c>
      <c r="F42" t="s">
        <v>23</v>
      </c>
      <c r="G42" t="s">
        <v>367</v>
      </c>
      <c r="H42" t="s">
        <v>25</v>
      </c>
      <c r="I42" t="s">
        <v>26</v>
      </c>
      <c r="J42" t="s">
        <v>368</v>
      </c>
      <c r="K42" t="s">
        <v>28</v>
      </c>
      <c r="L42" t="s">
        <v>369</v>
      </c>
      <c r="M42" t="s">
        <v>370</v>
      </c>
      <c r="N42" t="s">
        <v>371</v>
      </c>
      <c r="O42" t="s">
        <v>372</v>
      </c>
      <c r="P42" t="s">
        <v>373</v>
      </c>
      <c r="Q42" t="s">
        <v>374</v>
      </c>
      <c r="R42" t="s">
        <v>375</v>
      </c>
      <c r="S42" t="s">
        <v>376</v>
      </c>
      <c r="T42">
        <v>100</v>
      </c>
      <c r="U42">
        <v>667.9</v>
      </c>
      <c r="V42">
        <v>1.8560000000000001</v>
      </c>
      <c r="W42">
        <v>864.12</v>
      </c>
      <c r="X42">
        <v>4.51</v>
      </c>
      <c r="Y42">
        <v>4.91</v>
      </c>
    </row>
    <row r="43" spans="1:25" x14ac:dyDescent="0.3">
      <c r="A43" t="s">
        <v>377</v>
      </c>
      <c r="B43" t="s">
        <v>378</v>
      </c>
      <c r="C43" t="s">
        <v>379</v>
      </c>
      <c r="D43" s="8">
        <v>45838</v>
      </c>
      <c r="E43" t="s">
        <v>267</v>
      </c>
      <c r="F43" t="s">
        <v>66</v>
      </c>
      <c r="G43" t="s">
        <v>380</v>
      </c>
      <c r="H43" t="s">
        <v>381</v>
      </c>
      <c r="I43" t="s">
        <v>26</v>
      </c>
      <c r="J43" t="s">
        <v>382</v>
      </c>
      <c r="K43" t="s">
        <v>28</v>
      </c>
      <c r="L43" t="s">
        <v>383</v>
      </c>
      <c r="M43" t="s">
        <v>66</v>
      </c>
      <c r="N43" t="s">
        <v>66</v>
      </c>
      <c r="O43" t="s">
        <v>26</v>
      </c>
      <c r="P43" t="s">
        <v>384</v>
      </c>
      <c r="Q43" t="s">
        <v>385</v>
      </c>
      <c r="R43" t="s">
        <v>386</v>
      </c>
      <c r="S43" t="s">
        <v>387</v>
      </c>
      <c r="T43">
        <v>100</v>
      </c>
      <c r="U43">
        <v>158.69999999999999</v>
      </c>
      <c r="W43">
        <v>100</v>
      </c>
      <c r="X43">
        <v>0.98</v>
      </c>
      <c r="Y43">
        <v>1</v>
      </c>
    </row>
    <row r="44" spans="1:25" x14ac:dyDescent="0.3">
      <c r="A44" t="s">
        <v>377</v>
      </c>
      <c r="B44" t="s">
        <v>378</v>
      </c>
      <c r="C44" t="s">
        <v>388</v>
      </c>
      <c r="D44" s="8">
        <v>46203</v>
      </c>
      <c r="E44" t="s">
        <v>267</v>
      </c>
      <c r="F44" t="s">
        <v>66</v>
      </c>
      <c r="G44" t="s">
        <v>389</v>
      </c>
      <c r="H44" t="s">
        <v>381</v>
      </c>
      <c r="I44" t="s">
        <v>26</v>
      </c>
      <c r="J44" t="s">
        <v>390</v>
      </c>
      <c r="K44" t="s">
        <v>28</v>
      </c>
      <c r="L44" t="s">
        <v>383</v>
      </c>
      <c r="M44" t="s">
        <v>66</v>
      </c>
      <c r="N44" t="s">
        <v>66</v>
      </c>
      <c r="O44" t="s">
        <v>26</v>
      </c>
      <c r="P44" t="s">
        <v>391</v>
      </c>
      <c r="Q44" t="s">
        <v>392</v>
      </c>
      <c r="R44" t="s">
        <v>393</v>
      </c>
      <c r="S44" t="s">
        <v>394</v>
      </c>
      <c r="T44">
        <v>100</v>
      </c>
      <c r="U44">
        <v>181.75</v>
      </c>
      <c r="W44">
        <v>100</v>
      </c>
      <c r="X44">
        <v>1.94</v>
      </c>
      <c r="Y44">
        <v>2</v>
      </c>
    </row>
    <row r="45" spans="1:25" x14ac:dyDescent="0.3">
      <c r="A45" t="s">
        <v>377</v>
      </c>
      <c r="B45" t="s">
        <v>378</v>
      </c>
      <c r="C45" t="s">
        <v>395</v>
      </c>
      <c r="D45" s="8">
        <v>46568</v>
      </c>
      <c r="E45" t="s">
        <v>267</v>
      </c>
      <c r="F45" t="s">
        <v>66</v>
      </c>
      <c r="G45" t="s">
        <v>396</v>
      </c>
      <c r="H45" t="s">
        <v>381</v>
      </c>
      <c r="I45" t="s">
        <v>26</v>
      </c>
      <c r="J45" t="s">
        <v>397</v>
      </c>
      <c r="K45" t="s">
        <v>28</v>
      </c>
      <c r="L45" t="s">
        <v>383</v>
      </c>
      <c r="M45" t="s">
        <v>66</v>
      </c>
      <c r="N45" t="s">
        <v>66</v>
      </c>
      <c r="O45" t="s">
        <v>26</v>
      </c>
      <c r="P45" t="s">
        <v>398</v>
      </c>
      <c r="Q45" t="s">
        <v>399</v>
      </c>
      <c r="R45" t="s">
        <v>400</v>
      </c>
      <c r="S45" t="s">
        <v>401</v>
      </c>
      <c r="T45">
        <v>100</v>
      </c>
      <c r="U45">
        <v>170</v>
      </c>
      <c r="W45">
        <v>100</v>
      </c>
      <c r="X45">
        <v>2.91</v>
      </c>
      <c r="Y45">
        <v>3</v>
      </c>
    </row>
    <row r="46" spans="1:25" x14ac:dyDescent="0.3">
      <c r="A46" t="s">
        <v>377</v>
      </c>
      <c r="B46" t="s">
        <v>378</v>
      </c>
      <c r="C46" t="s">
        <v>402</v>
      </c>
      <c r="D46" s="8">
        <v>46934</v>
      </c>
      <c r="E46" t="s">
        <v>267</v>
      </c>
      <c r="F46" t="s">
        <v>66</v>
      </c>
      <c r="G46" t="s">
        <v>403</v>
      </c>
      <c r="H46" t="s">
        <v>381</v>
      </c>
      <c r="I46" t="s">
        <v>26</v>
      </c>
      <c r="J46" t="s">
        <v>404</v>
      </c>
      <c r="K46" t="s">
        <v>28</v>
      </c>
      <c r="L46" t="s">
        <v>383</v>
      </c>
      <c r="M46" t="s">
        <v>66</v>
      </c>
      <c r="N46" t="s">
        <v>66</v>
      </c>
      <c r="O46" t="s">
        <v>405</v>
      </c>
      <c r="P46" t="s">
        <v>406</v>
      </c>
      <c r="Q46" t="s">
        <v>407</v>
      </c>
      <c r="R46" t="s">
        <v>408</v>
      </c>
      <c r="S46" t="s">
        <v>409</v>
      </c>
      <c r="T46">
        <v>100</v>
      </c>
      <c r="U46">
        <v>148</v>
      </c>
      <c r="W46">
        <v>201.87</v>
      </c>
      <c r="X46">
        <v>3.84</v>
      </c>
      <c r="Y46">
        <v>4</v>
      </c>
    </row>
    <row r="47" spans="1:25" x14ac:dyDescent="0.3">
      <c r="A47" t="s">
        <v>377</v>
      </c>
      <c r="B47" t="s">
        <v>378</v>
      </c>
      <c r="C47" t="s">
        <v>410</v>
      </c>
      <c r="D47" s="8">
        <v>46006</v>
      </c>
      <c r="E47" t="s">
        <v>267</v>
      </c>
      <c r="F47" t="s">
        <v>66</v>
      </c>
      <c r="G47" t="s">
        <v>67</v>
      </c>
      <c r="H47" t="s">
        <v>381</v>
      </c>
      <c r="I47" t="s">
        <v>26</v>
      </c>
      <c r="J47" t="s">
        <v>411</v>
      </c>
      <c r="K47" t="s">
        <v>28</v>
      </c>
      <c r="L47" t="s">
        <v>383</v>
      </c>
      <c r="M47" t="s">
        <v>66</v>
      </c>
      <c r="N47" t="s">
        <v>66</v>
      </c>
      <c r="O47" t="s">
        <v>412</v>
      </c>
      <c r="P47" t="s">
        <v>413</v>
      </c>
      <c r="Q47" t="s">
        <v>414</v>
      </c>
      <c r="R47" t="s">
        <v>415</v>
      </c>
      <c r="S47" t="s">
        <v>416</v>
      </c>
      <c r="T47">
        <v>100</v>
      </c>
      <c r="U47">
        <v>136.75</v>
      </c>
      <c r="W47">
        <v>150.06</v>
      </c>
      <c r="X47">
        <v>1.41</v>
      </c>
      <c r="Y47">
        <v>1.75</v>
      </c>
    </row>
    <row r="48" spans="1:25" x14ac:dyDescent="0.3">
      <c r="A48" t="s">
        <v>377</v>
      </c>
      <c r="B48" t="s">
        <v>378</v>
      </c>
      <c r="C48" t="s">
        <v>417</v>
      </c>
      <c r="D48" s="8">
        <v>46371</v>
      </c>
      <c r="E48" t="s">
        <v>267</v>
      </c>
      <c r="F48" t="s">
        <v>66</v>
      </c>
      <c r="G48" t="s">
        <v>418</v>
      </c>
      <c r="H48" t="s">
        <v>381</v>
      </c>
      <c r="I48" t="s">
        <v>26</v>
      </c>
      <c r="J48" t="s">
        <v>419</v>
      </c>
      <c r="K48" t="s">
        <v>28</v>
      </c>
      <c r="L48" t="s">
        <v>383</v>
      </c>
      <c r="M48" t="s">
        <v>66</v>
      </c>
      <c r="N48" t="s">
        <v>66</v>
      </c>
      <c r="O48" t="s">
        <v>420</v>
      </c>
      <c r="P48" t="s">
        <v>421</v>
      </c>
      <c r="Q48" t="s">
        <v>422</v>
      </c>
      <c r="R48" t="s">
        <v>423</v>
      </c>
      <c r="S48" t="s">
        <v>424</v>
      </c>
      <c r="T48">
        <v>100</v>
      </c>
      <c r="U48">
        <v>128</v>
      </c>
      <c r="W48">
        <v>149.24</v>
      </c>
      <c r="X48">
        <v>2.38</v>
      </c>
      <c r="Y48">
        <v>2.46</v>
      </c>
    </row>
    <row r="49" spans="1:25" x14ac:dyDescent="0.3">
      <c r="A49" t="s">
        <v>377</v>
      </c>
      <c r="B49" t="s">
        <v>378</v>
      </c>
      <c r="C49" t="s">
        <v>425</v>
      </c>
      <c r="D49" s="8">
        <v>46736</v>
      </c>
      <c r="E49" t="s">
        <v>267</v>
      </c>
      <c r="F49" t="s">
        <v>66</v>
      </c>
      <c r="G49" t="s">
        <v>426</v>
      </c>
      <c r="H49" t="s">
        <v>381</v>
      </c>
      <c r="I49" t="s">
        <v>26</v>
      </c>
      <c r="J49" t="s">
        <v>427</v>
      </c>
      <c r="K49" t="s">
        <v>28</v>
      </c>
      <c r="L49" t="s">
        <v>383</v>
      </c>
      <c r="M49" t="s">
        <v>66</v>
      </c>
      <c r="N49" t="s">
        <v>66</v>
      </c>
      <c r="O49" t="s">
        <v>420</v>
      </c>
      <c r="P49" t="s">
        <v>428</v>
      </c>
      <c r="Q49" t="s">
        <v>429</v>
      </c>
      <c r="R49" t="s">
        <v>430</v>
      </c>
      <c r="S49" t="s">
        <v>431</v>
      </c>
      <c r="T49">
        <v>100</v>
      </c>
      <c r="U49">
        <v>115.5</v>
      </c>
      <c r="W49">
        <v>149.24</v>
      </c>
      <c r="X49">
        <v>3.33</v>
      </c>
      <c r="Y49">
        <v>3.46</v>
      </c>
    </row>
    <row r="50" spans="1:25" x14ac:dyDescent="0.3">
      <c r="A50" t="s">
        <v>377</v>
      </c>
      <c r="B50" t="s">
        <v>378</v>
      </c>
      <c r="C50" t="s">
        <v>432</v>
      </c>
      <c r="D50" s="8">
        <v>46112</v>
      </c>
      <c r="E50" t="s">
        <v>267</v>
      </c>
      <c r="F50" t="s">
        <v>66</v>
      </c>
      <c r="G50" t="s">
        <v>433</v>
      </c>
      <c r="H50" t="s">
        <v>381</v>
      </c>
      <c r="I50" t="s">
        <v>26</v>
      </c>
      <c r="J50" t="s">
        <v>434</v>
      </c>
      <c r="K50" t="s">
        <v>28</v>
      </c>
      <c r="L50" t="s">
        <v>383</v>
      </c>
      <c r="M50" t="s">
        <v>66</v>
      </c>
      <c r="N50" t="s">
        <v>66</v>
      </c>
      <c r="O50" t="s">
        <v>435</v>
      </c>
      <c r="P50" t="s">
        <v>436</v>
      </c>
      <c r="Q50" t="s">
        <v>437</v>
      </c>
      <c r="R50" t="s">
        <v>438</v>
      </c>
      <c r="S50" t="s">
        <v>416</v>
      </c>
      <c r="T50">
        <v>100</v>
      </c>
      <c r="U50">
        <v>109.5</v>
      </c>
      <c r="W50">
        <v>120.02</v>
      </c>
      <c r="X50">
        <v>1.7</v>
      </c>
      <c r="Y50">
        <v>1.75</v>
      </c>
    </row>
    <row r="51" spans="1:25" hidden="1" x14ac:dyDescent="0.3">
      <c r="A51" t="s">
        <v>439</v>
      </c>
      <c r="B51" t="s">
        <v>440</v>
      </c>
      <c r="C51" t="s">
        <v>441</v>
      </c>
      <c r="D51" t="s">
        <v>442</v>
      </c>
      <c r="E51" t="s">
        <v>267</v>
      </c>
      <c r="F51" t="s">
        <v>66</v>
      </c>
      <c r="G51" t="s">
        <v>442</v>
      </c>
      <c r="H51" t="s">
        <v>41</v>
      </c>
      <c r="I51" t="s">
        <v>26</v>
      </c>
      <c r="J51" t="s">
        <v>443</v>
      </c>
      <c r="K51" t="s">
        <v>28</v>
      </c>
      <c r="L51" t="s">
        <v>444</v>
      </c>
      <c r="M51" t="s">
        <v>445</v>
      </c>
      <c r="N51" t="s">
        <v>446</v>
      </c>
      <c r="O51" t="s">
        <v>447</v>
      </c>
      <c r="P51" t="s">
        <v>448</v>
      </c>
      <c r="Q51" t="s">
        <v>449</v>
      </c>
      <c r="R51" t="s">
        <v>450</v>
      </c>
      <c r="S51" t="s">
        <v>451</v>
      </c>
      <c r="T51">
        <v>100</v>
      </c>
      <c r="U51">
        <v>105250</v>
      </c>
      <c r="V51">
        <v>3364.2959999999998</v>
      </c>
      <c r="W51">
        <v>101951.74</v>
      </c>
      <c r="X51">
        <v>0.18</v>
      </c>
      <c r="Y51">
        <v>0.16</v>
      </c>
    </row>
    <row r="52" spans="1:25" hidden="1" x14ac:dyDescent="0.3">
      <c r="A52" t="s">
        <v>439</v>
      </c>
      <c r="B52" t="s">
        <v>452</v>
      </c>
      <c r="C52" t="s">
        <v>453</v>
      </c>
      <c r="D52" t="s">
        <v>454</v>
      </c>
      <c r="E52" t="s">
        <v>267</v>
      </c>
      <c r="F52" t="s">
        <v>455</v>
      </c>
      <c r="G52" t="s">
        <v>454</v>
      </c>
      <c r="H52" t="s">
        <v>41</v>
      </c>
      <c r="I52" t="s">
        <v>26</v>
      </c>
      <c r="J52" t="s">
        <v>456</v>
      </c>
      <c r="K52" t="s">
        <v>457</v>
      </c>
      <c r="L52" t="s">
        <v>444</v>
      </c>
      <c r="M52" t="s">
        <v>458</v>
      </c>
      <c r="N52" t="s">
        <v>459</v>
      </c>
      <c r="O52" t="s">
        <v>460</v>
      </c>
      <c r="P52" t="s">
        <v>461</v>
      </c>
      <c r="Q52" t="s">
        <v>462</v>
      </c>
      <c r="R52" t="s">
        <v>463</v>
      </c>
      <c r="S52" t="s">
        <v>463</v>
      </c>
      <c r="T52">
        <v>100</v>
      </c>
      <c r="U52">
        <v>115950</v>
      </c>
      <c r="V52">
        <v>2917.797</v>
      </c>
      <c r="W52">
        <v>117123.51</v>
      </c>
      <c r="X52">
        <v>0</v>
      </c>
      <c r="Y52">
        <v>0</v>
      </c>
    </row>
    <row r="53" spans="1:25" hidden="1" x14ac:dyDescent="0.3">
      <c r="A53" t="s">
        <v>439</v>
      </c>
      <c r="B53" t="s">
        <v>464</v>
      </c>
      <c r="C53" t="s">
        <v>465</v>
      </c>
      <c r="D53" t="s">
        <v>466</v>
      </c>
      <c r="E53" t="s">
        <v>267</v>
      </c>
      <c r="F53" t="s">
        <v>455</v>
      </c>
      <c r="G53" t="s">
        <v>466</v>
      </c>
      <c r="H53" t="s">
        <v>41</v>
      </c>
      <c r="I53" t="s">
        <v>26</v>
      </c>
      <c r="J53" t="s">
        <v>467</v>
      </c>
      <c r="K53" t="s">
        <v>28</v>
      </c>
      <c r="L53" t="s">
        <v>444</v>
      </c>
      <c r="M53" t="s">
        <v>445</v>
      </c>
      <c r="N53" t="s">
        <v>468</v>
      </c>
      <c r="O53" t="s">
        <v>447</v>
      </c>
      <c r="P53" t="s">
        <v>469</v>
      </c>
      <c r="Q53" t="s">
        <v>470</v>
      </c>
      <c r="R53" t="s">
        <v>471</v>
      </c>
      <c r="S53" t="s">
        <v>472</v>
      </c>
      <c r="T53">
        <v>100</v>
      </c>
      <c r="U53">
        <v>116500</v>
      </c>
      <c r="V53">
        <v>3364.2959999999998</v>
      </c>
      <c r="W53">
        <v>101951.74</v>
      </c>
      <c r="X53">
        <v>0.64</v>
      </c>
      <c r="Y53">
        <v>0.59</v>
      </c>
    </row>
    <row r="54" spans="1:25" hidden="1" x14ac:dyDescent="0.3">
      <c r="A54" t="s">
        <v>473</v>
      </c>
      <c r="B54" t="s">
        <v>474</v>
      </c>
      <c r="C54" t="s">
        <v>475</v>
      </c>
      <c r="D54" t="s">
        <v>476</v>
      </c>
      <c r="E54" t="s">
        <v>267</v>
      </c>
      <c r="F54" t="s">
        <v>23</v>
      </c>
      <c r="G54" t="s">
        <v>24</v>
      </c>
      <c r="H54" t="s">
        <v>25</v>
      </c>
      <c r="I54" t="s">
        <v>26</v>
      </c>
      <c r="J54" t="s">
        <v>477</v>
      </c>
      <c r="K54" t="s">
        <v>28</v>
      </c>
      <c r="L54" t="s">
        <v>478</v>
      </c>
      <c r="M54" t="s">
        <v>479</v>
      </c>
      <c r="N54" t="s">
        <v>480</v>
      </c>
      <c r="O54" t="s">
        <v>481</v>
      </c>
      <c r="P54" t="s">
        <v>482</v>
      </c>
      <c r="Q54" t="s">
        <v>483</v>
      </c>
      <c r="R54" t="s">
        <v>484</v>
      </c>
      <c r="S54" t="s">
        <v>485</v>
      </c>
      <c r="T54">
        <v>100</v>
      </c>
      <c r="U54">
        <v>109750</v>
      </c>
      <c r="V54">
        <v>0.126</v>
      </c>
      <c r="W54">
        <v>100.13</v>
      </c>
      <c r="X54">
        <v>0.85</v>
      </c>
      <c r="Y54">
        <v>0.75</v>
      </c>
    </row>
    <row r="55" spans="1:25" hidden="1" x14ac:dyDescent="0.3">
      <c r="A55" t="s">
        <v>473</v>
      </c>
      <c r="B55" t="s">
        <v>486</v>
      </c>
      <c r="C55" t="s">
        <v>487</v>
      </c>
      <c r="D55" t="s">
        <v>380</v>
      </c>
      <c r="E55" t="s">
        <v>267</v>
      </c>
      <c r="F55" t="s">
        <v>66</v>
      </c>
      <c r="G55" t="s">
        <v>380</v>
      </c>
      <c r="H55" t="s">
        <v>381</v>
      </c>
      <c r="I55" t="s">
        <v>26</v>
      </c>
      <c r="J55" t="s">
        <v>488</v>
      </c>
      <c r="K55" t="s">
        <v>28</v>
      </c>
      <c r="L55" t="s">
        <v>489</v>
      </c>
      <c r="M55" t="s">
        <v>463</v>
      </c>
      <c r="N55" t="s">
        <v>462</v>
      </c>
      <c r="O55" t="s">
        <v>26</v>
      </c>
      <c r="P55" t="s">
        <v>490</v>
      </c>
      <c r="Q55" t="s">
        <v>491</v>
      </c>
      <c r="R55" t="s">
        <v>492</v>
      </c>
      <c r="S55" t="s">
        <v>387</v>
      </c>
      <c r="T55">
        <v>100</v>
      </c>
      <c r="U55">
        <v>107000</v>
      </c>
      <c r="V55">
        <v>0</v>
      </c>
      <c r="W55">
        <v>100</v>
      </c>
      <c r="X55">
        <v>0.88</v>
      </c>
      <c r="Y55">
        <v>1</v>
      </c>
    </row>
    <row r="56" spans="1:25" hidden="1" x14ac:dyDescent="0.3">
      <c r="A56" t="s">
        <v>493</v>
      </c>
      <c r="B56" t="s">
        <v>494</v>
      </c>
      <c r="C56" t="s">
        <v>495</v>
      </c>
      <c r="D56" t="s">
        <v>496</v>
      </c>
      <c r="E56" t="s">
        <v>497</v>
      </c>
      <c r="F56" t="s">
        <v>23</v>
      </c>
      <c r="G56" t="s">
        <v>498</v>
      </c>
      <c r="H56" t="s">
        <v>25</v>
      </c>
      <c r="I56" t="s">
        <v>26</v>
      </c>
      <c r="J56" t="s">
        <v>499</v>
      </c>
      <c r="K56" t="s">
        <v>28</v>
      </c>
      <c r="L56" t="s">
        <v>500</v>
      </c>
      <c r="M56" t="s">
        <v>501</v>
      </c>
      <c r="N56" t="s">
        <v>502</v>
      </c>
      <c r="O56" t="s">
        <v>503</v>
      </c>
      <c r="P56" t="s">
        <v>504</v>
      </c>
      <c r="Q56" t="s">
        <v>227</v>
      </c>
      <c r="R56" t="s">
        <v>505</v>
      </c>
      <c r="S56" t="s">
        <v>506</v>
      </c>
      <c r="T56">
        <v>100</v>
      </c>
      <c r="U56">
        <v>124490</v>
      </c>
      <c r="V56">
        <v>2.4443999999999999</v>
      </c>
      <c r="W56">
        <v>102.444</v>
      </c>
      <c r="X56">
        <v>2.69</v>
      </c>
      <c r="Y56">
        <v>2.86</v>
      </c>
    </row>
    <row r="57" spans="1:25" hidden="1" x14ac:dyDescent="0.3">
      <c r="A57" t="s">
        <v>493</v>
      </c>
      <c r="B57" t="s">
        <v>507</v>
      </c>
      <c r="C57" t="s">
        <v>508</v>
      </c>
      <c r="D57" t="s">
        <v>496</v>
      </c>
      <c r="E57" t="s">
        <v>497</v>
      </c>
      <c r="F57" t="s">
        <v>23</v>
      </c>
      <c r="G57" t="s">
        <v>498</v>
      </c>
      <c r="H57" t="s">
        <v>25</v>
      </c>
      <c r="I57" t="s">
        <v>26</v>
      </c>
      <c r="J57" t="s">
        <v>509</v>
      </c>
      <c r="K57" t="s">
        <v>28</v>
      </c>
      <c r="L57" t="s">
        <v>500</v>
      </c>
      <c r="M57" t="s">
        <v>501</v>
      </c>
      <c r="N57" t="s">
        <v>510</v>
      </c>
      <c r="O57" t="s">
        <v>503</v>
      </c>
      <c r="P57" t="s">
        <v>511</v>
      </c>
      <c r="Q57" t="s">
        <v>512</v>
      </c>
      <c r="R57" t="s">
        <v>111</v>
      </c>
      <c r="S57" t="s">
        <v>506</v>
      </c>
      <c r="T57">
        <v>100</v>
      </c>
      <c r="U57">
        <v>111000</v>
      </c>
      <c r="V57">
        <v>2.4443999999999999</v>
      </c>
      <c r="W57">
        <v>102.444</v>
      </c>
      <c r="X57">
        <v>2.61</v>
      </c>
      <c r="Y57">
        <v>2.86</v>
      </c>
    </row>
    <row r="58" spans="1:25" hidden="1" x14ac:dyDescent="0.3">
      <c r="A58" t="s">
        <v>493</v>
      </c>
      <c r="B58" t="s">
        <v>513</v>
      </c>
      <c r="C58" t="s">
        <v>514</v>
      </c>
      <c r="D58" t="s">
        <v>496</v>
      </c>
      <c r="E58" t="s">
        <v>497</v>
      </c>
      <c r="F58" t="s">
        <v>23</v>
      </c>
      <c r="G58" t="s">
        <v>498</v>
      </c>
      <c r="H58" t="s">
        <v>25</v>
      </c>
      <c r="I58" t="s">
        <v>26</v>
      </c>
      <c r="J58" t="s">
        <v>515</v>
      </c>
      <c r="K58" t="s">
        <v>28</v>
      </c>
      <c r="L58" t="s">
        <v>500</v>
      </c>
      <c r="M58" t="s">
        <v>501</v>
      </c>
      <c r="N58" t="s">
        <v>516</v>
      </c>
      <c r="O58" t="s">
        <v>503</v>
      </c>
      <c r="P58" t="s">
        <v>517</v>
      </c>
      <c r="Q58" t="s">
        <v>518</v>
      </c>
      <c r="R58" t="s">
        <v>519</v>
      </c>
      <c r="S58" t="s">
        <v>506</v>
      </c>
      <c r="T58">
        <v>100</v>
      </c>
      <c r="U58">
        <v>101800</v>
      </c>
      <c r="V58">
        <v>2.4443999999999999</v>
      </c>
      <c r="W58">
        <v>102.444</v>
      </c>
      <c r="X58">
        <v>2.5499999999999998</v>
      </c>
      <c r="Y58">
        <v>2.86</v>
      </c>
    </row>
    <row r="59" spans="1:25" hidden="1" x14ac:dyDescent="0.3">
      <c r="A59" t="s">
        <v>493</v>
      </c>
      <c r="B59" t="s">
        <v>520</v>
      </c>
      <c r="C59" t="s">
        <v>521</v>
      </c>
      <c r="D59" t="s">
        <v>496</v>
      </c>
      <c r="E59" t="s">
        <v>497</v>
      </c>
      <c r="F59" t="s">
        <v>23</v>
      </c>
      <c r="G59" t="s">
        <v>498</v>
      </c>
      <c r="H59" t="s">
        <v>25</v>
      </c>
      <c r="I59" t="s">
        <v>26</v>
      </c>
      <c r="J59" t="s">
        <v>522</v>
      </c>
      <c r="K59" t="s">
        <v>28</v>
      </c>
      <c r="L59" t="s">
        <v>500</v>
      </c>
      <c r="M59" t="s">
        <v>501</v>
      </c>
      <c r="N59" t="s">
        <v>523</v>
      </c>
      <c r="O59" t="s">
        <v>503</v>
      </c>
      <c r="P59" t="s">
        <v>524</v>
      </c>
      <c r="Q59" t="s">
        <v>525</v>
      </c>
      <c r="R59" t="s">
        <v>526</v>
      </c>
      <c r="S59" t="s">
        <v>506</v>
      </c>
      <c r="T59">
        <v>100</v>
      </c>
      <c r="U59">
        <v>97560</v>
      </c>
      <c r="V59">
        <v>2.4443999999999999</v>
      </c>
      <c r="W59">
        <v>102.444</v>
      </c>
      <c r="X59">
        <v>2.52</v>
      </c>
      <c r="Y59">
        <v>2.86</v>
      </c>
    </row>
    <row r="60" spans="1:25" hidden="1" x14ac:dyDescent="0.3">
      <c r="A60" t="s">
        <v>493</v>
      </c>
      <c r="B60" t="s">
        <v>527</v>
      </c>
      <c r="C60" t="s">
        <v>528</v>
      </c>
      <c r="D60" t="s">
        <v>380</v>
      </c>
      <c r="E60" t="s">
        <v>529</v>
      </c>
      <c r="F60" t="s">
        <v>463</v>
      </c>
      <c r="G60" t="s">
        <v>530</v>
      </c>
      <c r="H60" t="s">
        <v>381</v>
      </c>
      <c r="I60" t="s">
        <v>26</v>
      </c>
      <c r="J60" t="s">
        <v>531</v>
      </c>
      <c r="K60" t="s">
        <v>28</v>
      </c>
      <c r="L60" t="s">
        <v>463</v>
      </c>
      <c r="M60" t="s">
        <v>463</v>
      </c>
      <c r="N60" t="s">
        <v>462</v>
      </c>
      <c r="O60" t="s">
        <v>26</v>
      </c>
      <c r="P60" t="s">
        <v>532</v>
      </c>
      <c r="Q60" t="s">
        <v>533</v>
      </c>
      <c r="R60" t="s">
        <v>534</v>
      </c>
      <c r="S60" t="s">
        <v>535</v>
      </c>
      <c r="T60">
        <v>100</v>
      </c>
      <c r="U60">
        <v>127880</v>
      </c>
      <c r="V60">
        <v>0</v>
      </c>
      <c r="W60">
        <v>100</v>
      </c>
      <c r="X60">
        <v>0.51</v>
      </c>
      <c r="Y60">
        <v>0.54</v>
      </c>
    </row>
    <row r="61" spans="1:25" hidden="1" x14ac:dyDescent="0.3">
      <c r="A61" t="s">
        <v>493</v>
      </c>
      <c r="B61" t="s">
        <v>536</v>
      </c>
      <c r="C61" t="s">
        <v>537</v>
      </c>
      <c r="D61" t="s">
        <v>380</v>
      </c>
      <c r="E61" t="s">
        <v>529</v>
      </c>
      <c r="F61" t="s">
        <v>66</v>
      </c>
      <c r="G61" t="s">
        <v>530</v>
      </c>
      <c r="H61" t="s">
        <v>381</v>
      </c>
      <c r="I61" t="s">
        <v>26</v>
      </c>
      <c r="J61" t="s">
        <v>538</v>
      </c>
      <c r="K61" t="s">
        <v>28</v>
      </c>
      <c r="L61" t="s">
        <v>463</v>
      </c>
      <c r="M61" t="s">
        <v>463</v>
      </c>
      <c r="N61" t="s">
        <v>462</v>
      </c>
      <c r="O61" t="s">
        <v>26</v>
      </c>
      <c r="P61" t="s">
        <v>539</v>
      </c>
      <c r="Q61" t="s">
        <v>540</v>
      </c>
      <c r="R61" t="s">
        <v>472</v>
      </c>
      <c r="S61" t="s">
        <v>541</v>
      </c>
      <c r="T61">
        <v>100</v>
      </c>
      <c r="U61">
        <v>94.25</v>
      </c>
      <c r="V61">
        <v>0</v>
      </c>
      <c r="W61">
        <v>100</v>
      </c>
      <c r="X61">
        <v>0.59</v>
      </c>
      <c r="Y61">
        <v>0.62</v>
      </c>
    </row>
    <row r="62" spans="1:25" hidden="1" x14ac:dyDescent="0.3">
      <c r="A62" t="s">
        <v>493</v>
      </c>
      <c r="B62" t="s">
        <v>542</v>
      </c>
      <c r="C62" t="s">
        <v>543</v>
      </c>
      <c r="D62" t="s">
        <v>380</v>
      </c>
      <c r="E62" t="s">
        <v>529</v>
      </c>
      <c r="F62" t="s">
        <v>66</v>
      </c>
      <c r="G62" t="s">
        <v>530</v>
      </c>
      <c r="H62" t="s">
        <v>381</v>
      </c>
      <c r="I62" t="s">
        <v>26</v>
      </c>
      <c r="J62" t="s">
        <v>544</v>
      </c>
      <c r="K62" t="s">
        <v>28</v>
      </c>
      <c r="L62" t="s">
        <v>463</v>
      </c>
      <c r="M62" t="s">
        <v>463</v>
      </c>
      <c r="N62" t="s">
        <v>462</v>
      </c>
      <c r="O62" t="s">
        <v>26</v>
      </c>
      <c r="P62" t="s">
        <v>545</v>
      </c>
      <c r="Q62" t="s">
        <v>546</v>
      </c>
      <c r="R62" t="s">
        <v>472</v>
      </c>
      <c r="S62" t="s">
        <v>541</v>
      </c>
      <c r="T62">
        <v>100</v>
      </c>
      <c r="U62">
        <v>94.8</v>
      </c>
      <c r="V62">
        <v>0</v>
      </c>
      <c r="W62">
        <v>100</v>
      </c>
      <c r="X62">
        <v>0.59</v>
      </c>
      <c r="Y62">
        <v>0.62</v>
      </c>
    </row>
    <row r="63" spans="1:25" hidden="1" x14ac:dyDescent="0.3">
      <c r="A63" t="s">
        <v>493</v>
      </c>
      <c r="B63" t="s">
        <v>547</v>
      </c>
      <c r="C63" t="s">
        <v>548</v>
      </c>
      <c r="D63" t="s">
        <v>549</v>
      </c>
      <c r="E63" t="s">
        <v>550</v>
      </c>
      <c r="F63" t="s">
        <v>551</v>
      </c>
      <c r="G63" t="s">
        <v>552</v>
      </c>
      <c r="H63" t="s">
        <v>25</v>
      </c>
      <c r="I63" t="s">
        <v>26</v>
      </c>
      <c r="J63" t="s">
        <v>553</v>
      </c>
      <c r="K63" t="s">
        <v>28</v>
      </c>
      <c r="L63" t="s">
        <v>554</v>
      </c>
      <c r="M63" t="s">
        <v>555</v>
      </c>
      <c r="N63" t="s">
        <v>556</v>
      </c>
      <c r="O63" t="s">
        <v>557</v>
      </c>
      <c r="P63" t="s">
        <v>558</v>
      </c>
      <c r="Q63" t="s">
        <v>559</v>
      </c>
      <c r="R63" t="s">
        <v>560</v>
      </c>
      <c r="S63" t="s">
        <v>561</v>
      </c>
      <c r="T63">
        <v>100</v>
      </c>
      <c r="U63">
        <v>102800</v>
      </c>
      <c r="V63">
        <v>0.95</v>
      </c>
      <c r="W63">
        <v>100.95</v>
      </c>
      <c r="X63">
        <v>1.44</v>
      </c>
      <c r="Y63">
        <v>1.62</v>
      </c>
    </row>
    <row r="64" spans="1:25" hidden="1" x14ac:dyDescent="0.3">
      <c r="A64" t="s">
        <v>493</v>
      </c>
      <c r="B64" t="s">
        <v>562</v>
      </c>
      <c r="C64" t="s">
        <v>563</v>
      </c>
      <c r="D64" t="s">
        <v>549</v>
      </c>
      <c r="E64" t="s">
        <v>550</v>
      </c>
      <c r="F64" t="s">
        <v>551</v>
      </c>
      <c r="G64" t="s">
        <v>552</v>
      </c>
      <c r="H64" t="s">
        <v>25</v>
      </c>
      <c r="I64" t="s">
        <v>26</v>
      </c>
      <c r="J64" t="s">
        <v>564</v>
      </c>
      <c r="K64" t="s">
        <v>28</v>
      </c>
      <c r="L64" t="s">
        <v>554</v>
      </c>
      <c r="M64" t="s">
        <v>555</v>
      </c>
      <c r="N64" t="s">
        <v>565</v>
      </c>
      <c r="O64" t="s">
        <v>557</v>
      </c>
      <c r="P64" t="s">
        <v>566</v>
      </c>
      <c r="Q64" t="s">
        <v>567</v>
      </c>
      <c r="R64" t="s">
        <v>560</v>
      </c>
      <c r="S64" t="s">
        <v>561</v>
      </c>
      <c r="T64">
        <v>100</v>
      </c>
      <c r="U64">
        <v>76</v>
      </c>
      <c r="V64">
        <v>0.95</v>
      </c>
      <c r="W64">
        <v>100.95</v>
      </c>
      <c r="X64">
        <v>1.44</v>
      </c>
      <c r="Y64">
        <v>1.62</v>
      </c>
    </row>
    <row r="65" spans="1:25" hidden="1" x14ac:dyDescent="0.3">
      <c r="A65" t="s">
        <v>493</v>
      </c>
      <c r="B65" t="s">
        <v>568</v>
      </c>
      <c r="C65" t="s">
        <v>569</v>
      </c>
      <c r="D65" t="s">
        <v>549</v>
      </c>
      <c r="E65" t="s">
        <v>550</v>
      </c>
      <c r="F65" t="s">
        <v>551</v>
      </c>
      <c r="G65" t="s">
        <v>552</v>
      </c>
      <c r="H65" t="s">
        <v>25</v>
      </c>
      <c r="I65" t="s">
        <v>26</v>
      </c>
      <c r="J65" t="s">
        <v>570</v>
      </c>
      <c r="K65" t="s">
        <v>28</v>
      </c>
      <c r="L65" t="s">
        <v>554</v>
      </c>
      <c r="M65" t="s">
        <v>555</v>
      </c>
      <c r="N65" t="s">
        <v>556</v>
      </c>
      <c r="O65" t="s">
        <v>557</v>
      </c>
      <c r="P65" t="s">
        <v>558</v>
      </c>
      <c r="Q65" t="s">
        <v>559</v>
      </c>
      <c r="R65" t="s">
        <v>560</v>
      </c>
      <c r="S65" t="s">
        <v>561</v>
      </c>
      <c r="T65">
        <v>100</v>
      </c>
      <c r="U65">
        <v>76.599999999999994</v>
      </c>
      <c r="V65">
        <v>0.95</v>
      </c>
      <c r="W65">
        <v>100.95</v>
      </c>
      <c r="X65">
        <v>1.44</v>
      </c>
      <c r="Y65">
        <v>1.62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5B41-2652-429F-AA93-2EF60C4F8792}">
  <sheetPr filterMode="1"/>
  <dimension ref="A1:Y51"/>
  <sheetViews>
    <sheetView workbookViewId="0">
      <selection activeCell="F37" sqref="F37"/>
    </sheetView>
  </sheetViews>
  <sheetFormatPr defaultRowHeight="14.4" x14ac:dyDescent="0.3"/>
  <cols>
    <col min="1" max="1" width="13.88671875" bestFit="1" customWidth="1"/>
    <col min="2" max="2" width="24.6640625" bestFit="1" customWidth="1"/>
    <col min="4" max="4" width="9.6640625" bestFit="1" customWidth="1"/>
    <col min="9" max="9" width="12" bestFit="1" customWidth="1"/>
  </cols>
  <sheetData>
    <row r="1" spans="1:25" x14ac:dyDescent="0.3">
      <c r="A1" s="2" t="s">
        <v>377</v>
      </c>
      <c r="B1" s="3" t="s">
        <v>378</v>
      </c>
      <c r="C1" s="3" t="s">
        <v>388</v>
      </c>
      <c r="D1" s="9">
        <v>46203</v>
      </c>
      <c r="E1" s="11">
        <v>5.3999999999999999E-2</v>
      </c>
      <c r="F1" s="3" t="s">
        <v>393</v>
      </c>
      <c r="G1" s="6" t="s">
        <v>394</v>
      </c>
    </row>
    <row r="2" spans="1:25" x14ac:dyDescent="0.3">
      <c r="A2" s="4" t="s">
        <v>377</v>
      </c>
      <c r="B2" s="5" t="s">
        <v>378</v>
      </c>
      <c r="C2" s="5" t="s">
        <v>395</v>
      </c>
      <c r="D2" s="10">
        <v>46568</v>
      </c>
      <c r="E2" s="12">
        <v>5.8999999999999997E-2</v>
      </c>
      <c r="F2" s="5" t="s">
        <v>400</v>
      </c>
      <c r="G2" s="7" t="s">
        <v>401</v>
      </c>
    </row>
    <row r="3" spans="1:25" x14ac:dyDescent="0.3">
      <c r="A3" s="2" t="s">
        <v>377</v>
      </c>
      <c r="B3" s="3" t="s">
        <v>378</v>
      </c>
      <c r="C3" s="3" t="s">
        <v>402</v>
      </c>
      <c r="D3" s="9">
        <v>46934</v>
      </c>
      <c r="E3" s="11">
        <v>8.0699999999999994E-2</v>
      </c>
      <c r="F3" s="3" t="s">
        <v>408</v>
      </c>
      <c r="G3" s="6" t="s">
        <v>409</v>
      </c>
    </row>
    <row r="4" spans="1:25" x14ac:dyDescent="0.3">
      <c r="A4" s="4" t="s">
        <v>377</v>
      </c>
      <c r="B4" s="5" t="s">
        <v>378</v>
      </c>
      <c r="C4" s="5" t="s">
        <v>410</v>
      </c>
      <c r="D4" s="10">
        <v>46006</v>
      </c>
      <c r="E4" s="12">
        <v>6.59E-2</v>
      </c>
      <c r="F4" s="5" t="s">
        <v>415</v>
      </c>
      <c r="G4" s="7" t="s">
        <v>416</v>
      </c>
    </row>
    <row r="5" spans="1:25" x14ac:dyDescent="0.3">
      <c r="A5" s="2" t="s">
        <v>377</v>
      </c>
      <c r="B5" s="3" t="s">
        <v>378</v>
      </c>
      <c r="C5" s="3" t="s">
        <v>417</v>
      </c>
      <c r="D5" s="9">
        <v>46371</v>
      </c>
      <c r="E5" s="11">
        <v>6.4500000000000002E-2</v>
      </c>
      <c r="F5" s="3" t="s">
        <v>423</v>
      </c>
      <c r="G5" s="6" t="s">
        <v>424</v>
      </c>
    </row>
    <row r="6" spans="1:25" x14ac:dyDescent="0.3">
      <c r="A6" s="4" t="s">
        <v>377</v>
      </c>
      <c r="B6" s="5" t="s">
        <v>378</v>
      </c>
      <c r="C6" s="5" t="s">
        <v>425</v>
      </c>
      <c r="D6" s="10">
        <v>46736</v>
      </c>
      <c r="E6" s="12">
        <v>7.6899999999999996E-2</v>
      </c>
      <c r="F6" s="5" t="s">
        <v>430</v>
      </c>
      <c r="G6" s="7" t="s">
        <v>431</v>
      </c>
    </row>
    <row r="7" spans="1:25" x14ac:dyDescent="0.3">
      <c r="A7" s="2" t="s">
        <v>377</v>
      </c>
      <c r="B7" s="3" t="s">
        <v>378</v>
      </c>
      <c r="C7" s="3" t="s">
        <v>432</v>
      </c>
      <c r="D7" s="9">
        <v>46112</v>
      </c>
      <c r="E7" s="11">
        <v>5.3900000000000003E-2</v>
      </c>
      <c r="F7" s="3" t="s">
        <v>438</v>
      </c>
      <c r="G7" s="6" t="s">
        <v>416</v>
      </c>
    </row>
    <row r="9" spans="1:25" x14ac:dyDescent="0.3">
      <c r="A9" s="2" t="s">
        <v>278</v>
      </c>
      <c r="B9" s="3" t="s">
        <v>279</v>
      </c>
      <c r="C9" s="3" t="s">
        <v>280</v>
      </c>
      <c r="D9" s="9">
        <v>45495</v>
      </c>
      <c r="E9" s="11">
        <v>1.06E-2</v>
      </c>
    </row>
    <row r="10" spans="1:25" x14ac:dyDescent="0.3">
      <c r="A10" s="4" t="s">
        <v>278</v>
      </c>
      <c r="B10" s="5" t="s">
        <v>290</v>
      </c>
      <c r="C10" s="5" t="s">
        <v>291</v>
      </c>
      <c r="D10" s="10">
        <v>45499</v>
      </c>
      <c r="E10" s="12">
        <v>-0.1668</v>
      </c>
    </row>
    <row r="11" spans="1:25" x14ac:dyDescent="0.3">
      <c r="A11" s="2" t="s">
        <v>278</v>
      </c>
      <c r="B11" s="3" t="s">
        <v>301</v>
      </c>
      <c r="C11" s="3" t="s">
        <v>302</v>
      </c>
      <c r="D11" s="9">
        <v>45579</v>
      </c>
      <c r="E11" s="11">
        <v>-1.4999999999999999E-2</v>
      </c>
    </row>
    <row r="12" spans="1:25" x14ac:dyDescent="0.3">
      <c r="A12" s="4" t="s">
        <v>278</v>
      </c>
      <c r="B12" s="5" t="s">
        <v>312</v>
      </c>
      <c r="C12" s="5" t="s">
        <v>313</v>
      </c>
      <c r="D12" s="10">
        <v>45702</v>
      </c>
      <c r="E12" s="12">
        <v>3.0800000000000001E-2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6"/>
    </row>
    <row r="13" spans="1:25" x14ac:dyDescent="0.3">
      <c r="A13" s="2" t="s">
        <v>278</v>
      </c>
      <c r="B13" s="3" t="s">
        <v>323</v>
      </c>
      <c r="C13" s="3" t="s">
        <v>324</v>
      </c>
      <c r="D13" s="9">
        <v>45774</v>
      </c>
      <c r="E13" s="11">
        <v>3.3399999999999999E-2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/>
    </row>
    <row r="14" spans="1:25" x14ac:dyDescent="0.3">
      <c r="A14" s="4" t="s">
        <v>377</v>
      </c>
      <c r="B14" s="5" t="s">
        <v>378</v>
      </c>
      <c r="C14" s="5" t="s">
        <v>379</v>
      </c>
      <c r="D14" s="10">
        <v>45838</v>
      </c>
      <c r="E14" s="12">
        <v>4.3799999999999999E-2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6"/>
    </row>
    <row r="15" spans="1:25" x14ac:dyDescent="0.3">
      <c r="A15" s="4" t="s">
        <v>278</v>
      </c>
      <c r="B15" s="5" t="s">
        <v>334</v>
      </c>
      <c r="C15" s="5" t="s">
        <v>335</v>
      </c>
      <c r="D15" s="10">
        <v>45970</v>
      </c>
      <c r="E15" s="12">
        <v>4.2599999999999999E-2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7"/>
    </row>
    <row r="16" spans="1:25" x14ac:dyDescent="0.3">
      <c r="A16" s="4" t="s">
        <v>377</v>
      </c>
      <c r="B16" s="5" t="s">
        <v>378</v>
      </c>
      <c r="C16" s="5" t="s">
        <v>410</v>
      </c>
      <c r="D16" s="10">
        <v>46006</v>
      </c>
      <c r="E16" s="12">
        <v>6.59E-2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6"/>
    </row>
    <row r="17" spans="1:25" x14ac:dyDescent="0.3">
      <c r="A17" s="2" t="s">
        <v>377</v>
      </c>
      <c r="B17" s="3" t="s">
        <v>378</v>
      </c>
      <c r="C17" s="3" t="s">
        <v>432</v>
      </c>
      <c r="D17" s="9">
        <v>46112</v>
      </c>
      <c r="E17" s="11">
        <v>5.3900000000000003E-2</v>
      </c>
      <c r="F17" s="5"/>
      <c r="G17" s="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"/>
    </row>
    <row r="18" spans="1:25" x14ac:dyDescent="0.3">
      <c r="A18" s="2" t="s">
        <v>377</v>
      </c>
      <c r="B18" s="3" t="s">
        <v>378</v>
      </c>
      <c r="C18" s="3" t="s">
        <v>388</v>
      </c>
      <c r="D18" s="9">
        <v>46203</v>
      </c>
      <c r="E18" s="11">
        <v>5.3999999999999999E-2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/>
    </row>
    <row r="19" spans="1:25" x14ac:dyDescent="0.3">
      <c r="A19" s="2" t="s">
        <v>278</v>
      </c>
      <c r="B19" s="3" t="s">
        <v>345</v>
      </c>
      <c r="C19" s="3" t="s">
        <v>346</v>
      </c>
      <c r="D19" s="9">
        <v>46335</v>
      </c>
      <c r="E19" s="11">
        <v>5.1200000000000002E-2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7"/>
    </row>
    <row r="20" spans="1:25" x14ac:dyDescent="0.3">
      <c r="A20" s="2" t="s">
        <v>377</v>
      </c>
      <c r="B20" s="3" t="s">
        <v>378</v>
      </c>
      <c r="C20" s="3" t="s">
        <v>417</v>
      </c>
      <c r="D20" s="9">
        <v>46371</v>
      </c>
      <c r="E20" s="11">
        <v>6.4500000000000002E-2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6"/>
    </row>
    <row r="21" spans="1:25" x14ac:dyDescent="0.3">
      <c r="A21" s="4" t="s">
        <v>377</v>
      </c>
      <c r="B21" s="5" t="s">
        <v>378</v>
      </c>
      <c r="C21" s="5" t="s">
        <v>395</v>
      </c>
      <c r="D21" s="10">
        <v>46568</v>
      </c>
      <c r="E21" s="12">
        <v>5.8999999999999997E-2</v>
      </c>
      <c r="F21" s="5"/>
      <c r="G21" s="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7"/>
    </row>
    <row r="22" spans="1:25" x14ac:dyDescent="0.3">
      <c r="A22" s="4" t="s">
        <v>377</v>
      </c>
      <c r="B22" s="5" t="s">
        <v>378</v>
      </c>
      <c r="C22" s="5" t="s">
        <v>425</v>
      </c>
      <c r="D22" s="10">
        <v>46736</v>
      </c>
      <c r="E22" s="12">
        <v>7.6899999999999996E-2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6"/>
    </row>
    <row r="23" spans="1:25" x14ac:dyDescent="0.3">
      <c r="A23" s="2" t="s">
        <v>377</v>
      </c>
      <c r="B23" s="3" t="s">
        <v>378</v>
      </c>
      <c r="C23" s="3" t="s">
        <v>402</v>
      </c>
      <c r="D23" s="9">
        <v>46934</v>
      </c>
      <c r="E23" s="11">
        <v>8.0699999999999994E-2</v>
      </c>
      <c r="F23" s="5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7"/>
    </row>
    <row r="24" spans="1:25" x14ac:dyDescent="0.3">
      <c r="A24" s="4" t="s">
        <v>278</v>
      </c>
      <c r="B24" s="5" t="s">
        <v>355</v>
      </c>
      <c r="C24" s="5" t="s">
        <v>356</v>
      </c>
      <c r="D24" s="10">
        <v>47066</v>
      </c>
      <c r="E24" s="12">
        <v>6.1899999999999997E-2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6"/>
    </row>
    <row r="25" spans="1:25" x14ac:dyDescent="0.3">
      <c r="A25" s="2" t="s">
        <v>278</v>
      </c>
      <c r="B25" s="3" t="s">
        <v>365</v>
      </c>
      <c r="C25" s="3" t="s">
        <v>366</v>
      </c>
      <c r="D25" s="9">
        <v>48182</v>
      </c>
      <c r="E25" s="11">
        <v>8.2000000000000003E-2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7"/>
    </row>
    <row r="26" spans="1:25" x14ac:dyDescent="0.3">
      <c r="A26" s="4" t="s">
        <v>36</v>
      </c>
      <c r="B26" s="5" t="s">
        <v>37</v>
      </c>
      <c r="C26" s="5" t="s">
        <v>38</v>
      </c>
      <c r="D26" s="10">
        <v>48944</v>
      </c>
      <c r="E26" s="12">
        <v>7.7200000000000005E-2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6"/>
    </row>
    <row r="27" spans="1:25" x14ac:dyDescent="0.3">
      <c r="A27" s="2" t="s">
        <v>19</v>
      </c>
      <c r="B27" s="3" t="s">
        <v>20</v>
      </c>
      <c r="C27" s="3" t="s">
        <v>21</v>
      </c>
      <c r="D27" s="9">
        <v>50770</v>
      </c>
      <c r="E27" s="11">
        <v>8.6400000000000005E-2</v>
      </c>
      <c r="F27" s="5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7"/>
    </row>
    <row r="28" spans="1:25" x14ac:dyDescent="0.3">
      <c r="A28" s="2" t="s">
        <v>51</v>
      </c>
      <c r="B28" s="3" t="s">
        <v>52</v>
      </c>
      <c r="C28" s="3" t="s">
        <v>53</v>
      </c>
      <c r="D28" s="9">
        <v>53327</v>
      </c>
      <c r="E28" s="11">
        <v>9.0700000000000003E-2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6"/>
    </row>
    <row r="31" spans="1:25" x14ac:dyDescent="0.3">
      <c r="A31" t="s">
        <v>7</v>
      </c>
      <c r="B31" t="s">
        <v>578</v>
      </c>
      <c r="C31" t="s">
        <v>579</v>
      </c>
      <c r="D31" t="s">
        <v>3</v>
      </c>
      <c r="E31" t="s">
        <v>577</v>
      </c>
    </row>
    <row r="32" spans="1:25" hidden="1" x14ac:dyDescent="0.3">
      <c r="A32" s="2" t="s">
        <v>278</v>
      </c>
      <c r="B32" s="3" t="s">
        <v>279</v>
      </c>
      <c r="C32" s="3" t="s">
        <v>280</v>
      </c>
      <c r="D32" s="9">
        <v>45495</v>
      </c>
      <c r="E32" s="11">
        <v>1.06E-2</v>
      </c>
    </row>
    <row r="33" spans="1:7" hidden="1" x14ac:dyDescent="0.3">
      <c r="A33" s="4" t="s">
        <v>278</v>
      </c>
      <c r="B33" s="5" t="s">
        <v>290</v>
      </c>
      <c r="C33" s="5" t="s">
        <v>291</v>
      </c>
      <c r="D33" s="10">
        <v>45499</v>
      </c>
      <c r="E33" s="12">
        <v>-0.1668</v>
      </c>
    </row>
    <row r="34" spans="1:7" hidden="1" x14ac:dyDescent="0.3">
      <c r="A34" s="2" t="s">
        <v>278</v>
      </c>
      <c r="B34" s="3" t="s">
        <v>301</v>
      </c>
      <c r="C34" s="3" t="s">
        <v>302</v>
      </c>
      <c r="D34" s="9">
        <v>45579</v>
      </c>
      <c r="E34" s="11">
        <v>-1.4999999999999999E-2</v>
      </c>
    </row>
    <row r="35" spans="1:7" hidden="1" x14ac:dyDescent="0.3">
      <c r="A35" s="4" t="s">
        <v>278</v>
      </c>
      <c r="B35" s="5" t="s">
        <v>312</v>
      </c>
      <c r="C35" s="5" t="s">
        <v>313</v>
      </c>
      <c r="D35" s="10">
        <v>45702</v>
      </c>
      <c r="E35" s="12">
        <v>3.0800000000000001E-2</v>
      </c>
    </row>
    <row r="36" spans="1:7" hidden="1" x14ac:dyDescent="0.3">
      <c r="A36" s="2" t="s">
        <v>278</v>
      </c>
      <c r="B36" s="3" t="s">
        <v>323</v>
      </c>
      <c r="C36" s="3" t="s">
        <v>324</v>
      </c>
      <c r="D36" s="9">
        <v>45774</v>
      </c>
      <c r="E36" s="11">
        <v>3.3399999999999999E-2</v>
      </c>
    </row>
    <row r="37" spans="1:7" x14ac:dyDescent="0.3">
      <c r="A37" s="4" t="s">
        <v>377</v>
      </c>
      <c r="B37" s="5" t="s">
        <v>378</v>
      </c>
      <c r="C37" s="5" t="s">
        <v>379</v>
      </c>
      <c r="D37" s="10">
        <v>45838</v>
      </c>
      <c r="E37" s="12">
        <v>4.3799999999999999E-2</v>
      </c>
      <c r="F37" s="10">
        <v>45471</v>
      </c>
      <c r="G37">
        <f>(D37-F37)/365</f>
        <v>1.0054794520547945</v>
      </c>
    </row>
    <row r="38" spans="1:7" hidden="1" x14ac:dyDescent="0.3">
      <c r="A38" s="4" t="s">
        <v>278</v>
      </c>
      <c r="B38" s="5" t="s">
        <v>334</v>
      </c>
      <c r="C38" s="5" t="s">
        <v>335</v>
      </c>
      <c r="D38" s="10">
        <v>45970</v>
      </c>
      <c r="E38" s="12">
        <v>4.2599999999999999E-2</v>
      </c>
    </row>
    <row r="39" spans="1:7" x14ac:dyDescent="0.3">
      <c r="A39" s="4" t="s">
        <v>377</v>
      </c>
      <c r="B39" s="5" t="s">
        <v>378</v>
      </c>
      <c r="C39" s="5" t="s">
        <v>410</v>
      </c>
      <c r="D39" s="10">
        <v>46006</v>
      </c>
      <c r="E39" s="12">
        <v>6.59E-2</v>
      </c>
      <c r="F39" s="10">
        <v>45471</v>
      </c>
      <c r="G39">
        <f t="shared" ref="G39:G41" si="0">(D39-F39)/365</f>
        <v>1.4657534246575343</v>
      </c>
    </row>
    <row r="40" spans="1:7" x14ac:dyDescent="0.3">
      <c r="A40" s="2" t="s">
        <v>377</v>
      </c>
      <c r="B40" s="3" t="s">
        <v>378</v>
      </c>
      <c r="C40" s="3" t="s">
        <v>432</v>
      </c>
      <c r="D40" s="9">
        <v>46112</v>
      </c>
      <c r="E40" s="11">
        <v>5.3900000000000003E-2</v>
      </c>
      <c r="F40" s="10">
        <v>45471</v>
      </c>
      <c r="G40">
        <f t="shared" si="0"/>
        <v>1.7561643835616438</v>
      </c>
    </row>
    <row r="41" spans="1:7" x14ac:dyDescent="0.3">
      <c r="A41" s="2" t="s">
        <v>377</v>
      </c>
      <c r="B41" s="3" t="s">
        <v>378</v>
      </c>
      <c r="C41" s="3" t="s">
        <v>388</v>
      </c>
      <c r="D41" s="9">
        <v>46203</v>
      </c>
      <c r="E41" s="11">
        <v>5.3999999999999999E-2</v>
      </c>
      <c r="F41" s="10">
        <v>45471</v>
      </c>
      <c r="G41">
        <f t="shared" si="0"/>
        <v>2.0054794520547947</v>
      </c>
    </row>
    <row r="42" spans="1:7" hidden="1" x14ac:dyDescent="0.3">
      <c r="A42" s="2" t="s">
        <v>278</v>
      </c>
      <c r="B42" s="3" t="s">
        <v>345</v>
      </c>
      <c r="C42" s="3" t="s">
        <v>346</v>
      </c>
      <c r="D42" s="9">
        <v>46335</v>
      </c>
      <c r="E42" s="11">
        <v>5.1200000000000002E-2</v>
      </c>
    </row>
    <row r="43" spans="1:7" x14ac:dyDescent="0.3">
      <c r="A43" s="2" t="s">
        <v>377</v>
      </c>
      <c r="B43" s="3" t="s">
        <v>378</v>
      </c>
      <c r="C43" s="3" t="s">
        <v>417</v>
      </c>
      <c r="D43" s="9">
        <v>46371</v>
      </c>
      <c r="E43" s="11">
        <v>6.4500000000000002E-2</v>
      </c>
      <c r="F43" s="10">
        <v>45471</v>
      </c>
      <c r="G43">
        <f t="shared" ref="G43:G46" si="1">(D43-F43)/365</f>
        <v>2.4657534246575343</v>
      </c>
    </row>
    <row r="44" spans="1:7" x14ac:dyDescent="0.3">
      <c r="A44" s="4" t="s">
        <v>377</v>
      </c>
      <c r="B44" s="5" t="s">
        <v>378</v>
      </c>
      <c r="C44" s="5" t="s">
        <v>395</v>
      </c>
      <c r="D44" s="10">
        <v>46568</v>
      </c>
      <c r="E44" s="12">
        <v>5.8999999999999997E-2</v>
      </c>
      <c r="F44" s="10">
        <v>45471</v>
      </c>
      <c r="G44">
        <f t="shared" si="1"/>
        <v>3.0054794520547947</v>
      </c>
    </row>
    <row r="45" spans="1:7" x14ac:dyDescent="0.3">
      <c r="A45" s="4" t="s">
        <v>377</v>
      </c>
      <c r="B45" s="5" t="s">
        <v>378</v>
      </c>
      <c r="C45" s="5" t="s">
        <v>425</v>
      </c>
      <c r="D45" s="10">
        <v>46736</v>
      </c>
      <c r="E45" s="12">
        <v>7.6899999999999996E-2</v>
      </c>
      <c r="F45" s="10">
        <v>45471</v>
      </c>
      <c r="G45">
        <f t="shared" si="1"/>
        <v>3.4657534246575343</v>
      </c>
    </row>
    <row r="46" spans="1:7" x14ac:dyDescent="0.3">
      <c r="A46" s="2" t="s">
        <v>377</v>
      </c>
      <c r="B46" s="3" t="s">
        <v>378</v>
      </c>
      <c r="C46" s="3" t="s">
        <v>402</v>
      </c>
      <c r="D46" s="9">
        <v>46934</v>
      </c>
      <c r="E46" s="11">
        <v>8.0699999999999994E-2</v>
      </c>
      <c r="F46" s="10">
        <v>45471</v>
      </c>
      <c r="G46">
        <f t="shared" si="1"/>
        <v>4.0082191780821921</v>
      </c>
    </row>
    <row r="47" spans="1:7" hidden="1" x14ac:dyDescent="0.3">
      <c r="A47" s="4" t="s">
        <v>278</v>
      </c>
      <c r="B47" s="5" t="s">
        <v>355</v>
      </c>
      <c r="C47" s="5" t="s">
        <v>356</v>
      </c>
      <c r="D47" s="10">
        <v>47066</v>
      </c>
      <c r="E47" s="12">
        <v>6.1899999999999997E-2</v>
      </c>
    </row>
    <row r="48" spans="1:7" hidden="1" x14ac:dyDescent="0.3">
      <c r="A48" s="2" t="s">
        <v>278</v>
      </c>
      <c r="B48" s="3" t="s">
        <v>365</v>
      </c>
      <c r="C48" s="3" t="s">
        <v>366</v>
      </c>
      <c r="D48" s="9">
        <v>48182</v>
      </c>
      <c r="E48" s="11">
        <v>8.2000000000000003E-2</v>
      </c>
    </row>
    <row r="49" spans="1:5" x14ac:dyDescent="0.3">
      <c r="A49" s="4" t="s">
        <v>36</v>
      </c>
      <c r="B49" s="5" t="s">
        <v>37</v>
      </c>
      <c r="C49" s="5" t="s">
        <v>38</v>
      </c>
      <c r="D49" s="10">
        <v>48944</v>
      </c>
      <c r="E49" s="12">
        <v>7.7200000000000005E-2</v>
      </c>
    </row>
    <row r="50" spans="1:5" x14ac:dyDescent="0.3">
      <c r="A50" s="2" t="s">
        <v>19</v>
      </c>
      <c r="B50" s="3" t="s">
        <v>20</v>
      </c>
      <c r="C50" s="3" t="s">
        <v>21</v>
      </c>
      <c r="D50" s="9">
        <v>50770</v>
      </c>
      <c r="E50" s="11">
        <v>8.6400000000000005E-2</v>
      </c>
    </row>
    <row r="51" spans="1:5" x14ac:dyDescent="0.3">
      <c r="A51" s="2" t="s">
        <v>51</v>
      </c>
      <c r="B51" s="3" t="s">
        <v>52</v>
      </c>
      <c r="C51" s="3" t="s">
        <v>53</v>
      </c>
      <c r="D51" s="9">
        <v>53327</v>
      </c>
      <c r="E51" s="11">
        <v>9.0700000000000003E-2</v>
      </c>
    </row>
  </sheetData>
  <autoFilter ref="A31:E51" xr:uid="{8C735B41-2652-429F-AA93-2EF60C4F8792}">
    <filterColumn colId="0">
      <filters>
        <filter val="Bonos CUASIPAR"/>
        <filter val="Bonos Discount"/>
        <filter val="Bonos PAR"/>
        <filter val="CER cupón cero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33B5-3159-4480-BE34-6996F76CA9E9}">
  <dimension ref="A1:O16"/>
  <sheetViews>
    <sheetView workbookViewId="0">
      <selection activeCell="F3" sqref="F3"/>
    </sheetView>
  </sheetViews>
  <sheetFormatPr defaultRowHeight="14.4" x14ac:dyDescent="0.3"/>
  <cols>
    <col min="1" max="1" width="15.88671875" bestFit="1" customWidth="1"/>
    <col min="2" max="2" width="20.6640625" bestFit="1" customWidth="1"/>
    <col min="3" max="3" width="7.109375" bestFit="1" customWidth="1"/>
    <col min="4" max="4" width="9.6640625" bestFit="1" customWidth="1"/>
    <col min="5" max="5" width="9.109375" bestFit="1" customWidth="1"/>
    <col min="6" max="6" width="9" bestFit="1" customWidth="1"/>
    <col min="7" max="7" width="9.6640625" bestFit="1" customWidth="1"/>
    <col min="8" max="8" width="4" bestFit="1" customWidth="1"/>
    <col min="9" max="9" width="9" bestFit="1" customWidth="1"/>
    <col min="10" max="10" width="9.44140625" bestFit="1" customWidth="1"/>
    <col min="11" max="11" width="9" bestFit="1" customWidth="1"/>
    <col min="12" max="12" width="8.109375" bestFit="1" customWidth="1"/>
    <col min="13" max="13" width="8.33203125" bestFit="1" customWidth="1"/>
    <col min="14" max="14" width="6" bestFit="1" customWidth="1"/>
    <col min="15" max="15" width="8.109375" bestFit="1" customWidth="1"/>
  </cols>
  <sheetData>
    <row r="1" spans="1:15" ht="43.8" thickBo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8</v>
      </c>
      <c r="I1" s="15" t="s">
        <v>9</v>
      </c>
      <c r="J1" s="15" t="s">
        <v>10</v>
      </c>
      <c r="K1" s="15" t="s">
        <v>14</v>
      </c>
      <c r="L1" s="15" t="s">
        <v>15</v>
      </c>
      <c r="M1" s="15" t="s">
        <v>602</v>
      </c>
      <c r="N1" s="15" t="s">
        <v>17</v>
      </c>
      <c r="O1" s="16" t="s">
        <v>18</v>
      </c>
    </row>
    <row r="2" spans="1:15" ht="15" thickTop="1" x14ac:dyDescent="0.3">
      <c r="A2" s="2" t="s">
        <v>51</v>
      </c>
      <c r="B2" s="3" t="s">
        <v>52</v>
      </c>
      <c r="C2" s="3" t="s">
        <v>53</v>
      </c>
      <c r="D2" s="9">
        <v>53327</v>
      </c>
      <c r="E2" s="3" t="s">
        <v>23</v>
      </c>
      <c r="F2" s="3" t="s">
        <v>23</v>
      </c>
      <c r="G2" s="9">
        <v>45657</v>
      </c>
      <c r="H2" s="3">
        <v>100</v>
      </c>
      <c r="I2" s="3">
        <v>20230</v>
      </c>
      <c r="J2" s="9">
        <v>45471</v>
      </c>
      <c r="K2" s="3">
        <v>38606.080000000002</v>
      </c>
      <c r="L2" s="11">
        <v>0.52400000000000002</v>
      </c>
      <c r="M2" s="17">
        <v>6.6996882730528617E-2</v>
      </c>
      <c r="N2" s="3">
        <v>10.51</v>
      </c>
      <c r="O2" s="6">
        <v>13.95</v>
      </c>
    </row>
    <row r="3" spans="1:15" x14ac:dyDescent="0.3">
      <c r="A3" s="4" t="s">
        <v>36</v>
      </c>
      <c r="B3" s="5" t="s">
        <v>37</v>
      </c>
      <c r="C3" s="5" t="s">
        <v>38</v>
      </c>
      <c r="D3" s="10">
        <v>48944</v>
      </c>
      <c r="E3" s="5" t="s">
        <v>23</v>
      </c>
      <c r="F3" s="5" t="s">
        <v>23</v>
      </c>
      <c r="G3" s="10">
        <v>45657</v>
      </c>
      <c r="H3" s="5">
        <v>95</v>
      </c>
      <c r="I3" s="5">
        <v>31250</v>
      </c>
      <c r="J3" s="10">
        <v>45471</v>
      </c>
      <c r="K3" s="5">
        <v>33544.160000000003</v>
      </c>
      <c r="L3" s="12">
        <v>0.93159999999999998</v>
      </c>
      <c r="M3" s="18">
        <v>9.5447733191835055E-3</v>
      </c>
      <c r="N3" s="5">
        <v>3.97</v>
      </c>
      <c r="O3" s="7">
        <v>4.66</v>
      </c>
    </row>
    <row r="4" spans="1:15" x14ac:dyDescent="0.3">
      <c r="A4" s="2" t="s">
        <v>19</v>
      </c>
      <c r="B4" s="3" t="s">
        <v>20</v>
      </c>
      <c r="C4" s="3" t="s">
        <v>21</v>
      </c>
      <c r="D4" s="9">
        <v>50770</v>
      </c>
      <c r="E4" s="3" t="s">
        <v>23</v>
      </c>
      <c r="F4" s="3" t="s">
        <v>23</v>
      </c>
      <c r="G4" s="9">
        <v>45565</v>
      </c>
      <c r="H4" s="3">
        <v>100</v>
      </c>
      <c r="I4" s="3">
        <v>16340</v>
      </c>
      <c r="J4" s="9">
        <v>45471</v>
      </c>
      <c r="K4" s="3">
        <v>27924.13</v>
      </c>
      <c r="L4" s="11">
        <v>0.58520000000000005</v>
      </c>
      <c r="M4" s="17">
        <v>5.2493061860804893E-2</v>
      </c>
      <c r="N4" s="3">
        <v>7.96</v>
      </c>
      <c r="O4" s="6">
        <v>9.2799999999999994</v>
      </c>
    </row>
    <row r="5" spans="1:15" x14ac:dyDescent="0.3">
      <c r="A5" s="4" t="s">
        <v>278</v>
      </c>
      <c r="B5" s="5" t="s">
        <v>312</v>
      </c>
      <c r="C5" s="5" t="s">
        <v>313</v>
      </c>
      <c r="D5" s="10">
        <v>45702</v>
      </c>
      <c r="E5" s="5" t="s">
        <v>267</v>
      </c>
      <c r="F5" s="5" t="s">
        <v>23</v>
      </c>
      <c r="G5" s="10">
        <v>45518</v>
      </c>
      <c r="H5" s="5">
        <v>100</v>
      </c>
      <c r="I5" s="5">
        <v>509.6</v>
      </c>
      <c r="J5" s="10">
        <v>45471</v>
      </c>
      <c r="K5" s="5">
        <v>506.08</v>
      </c>
      <c r="L5" s="12">
        <v>1.0069999999999999</v>
      </c>
      <c r="M5" s="12">
        <v>-0.15639803589690551</v>
      </c>
      <c r="N5" s="5">
        <v>0.6</v>
      </c>
      <c r="O5" s="7">
        <v>0.61</v>
      </c>
    </row>
    <row r="6" spans="1:15" x14ac:dyDescent="0.3">
      <c r="A6" s="4" t="s">
        <v>278</v>
      </c>
      <c r="B6" s="5" t="s">
        <v>279</v>
      </c>
      <c r="C6" s="5" t="s">
        <v>280</v>
      </c>
      <c r="D6" s="10">
        <v>45495</v>
      </c>
      <c r="E6" s="5" t="s">
        <v>267</v>
      </c>
      <c r="F6" s="5" t="s">
        <v>23</v>
      </c>
      <c r="G6" s="10">
        <v>45639</v>
      </c>
      <c r="H6" s="5">
        <v>100</v>
      </c>
      <c r="I6" s="5">
        <v>411</v>
      </c>
      <c r="J6" s="10">
        <v>45471</v>
      </c>
      <c r="K6" s="5">
        <v>405.22</v>
      </c>
      <c r="L6" s="12">
        <v>1.0143</v>
      </c>
      <c r="M6" s="12">
        <v>-0.1443425551758587</v>
      </c>
      <c r="N6" s="5">
        <v>0.46</v>
      </c>
      <c r="O6" s="7">
        <v>0.45</v>
      </c>
    </row>
    <row r="7" spans="1:15" x14ac:dyDescent="0.3">
      <c r="A7" s="2" t="s">
        <v>278</v>
      </c>
      <c r="B7" s="3" t="s">
        <v>323</v>
      </c>
      <c r="C7" s="3" t="s">
        <v>324</v>
      </c>
      <c r="D7" s="9">
        <v>45774</v>
      </c>
      <c r="E7" s="3" t="s">
        <v>267</v>
      </c>
      <c r="F7" s="3" t="s">
        <v>23</v>
      </c>
      <c r="G7" s="9">
        <v>45592</v>
      </c>
      <c r="H7" s="3">
        <v>100</v>
      </c>
      <c r="I7" s="3">
        <v>4520</v>
      </c>
      <c r="J7" s="9">
        <v>45471</v>
      </c>
      <c r="K7" s="3">
        <v>4495.54</v>
      </c>
      <c r="L7" s="11">
        <v>1.0054000000000001</v>
      </c>
      <c r="M7" s="11">
        <v>-0.12618229400838901</v>
      </c>
      <c r="N7" s="3">
        <v>0.8</v>
      </c>
      <c r="O7" s="6">
        <v>0.81</v>
      </c>
    </row>
    <row r="8" spans="1:15" x14ac:dyDescent="0.3">
      <c r="A8" s="2" t="s">
        <v>278</v>
      </c>
      <c r="B8" s="3" t="s">
        <v>345</v>
      </c>
      <c r="C8" s="3" t="s">
        <v>346</v>
      </c>
      <c r="D8" s="9">
        <v>46335</v>
      </c>
      <c r="E8" s="3" t="s">
        <v>347</v>
      </c>
      <c r="F8" s="3" t="s">
        <v>23</v>
      </c>
      <c r="G8" s="9">
        <v>45605</v>
      </c>
      <c r="H8" s="3">
        <v>100</v>
      </c>
      <c r="I8" s="3">
        <v>1729</v>
      </c>
      <c r="J8" s="9">
        <v>45471</v>
      </c>
      <c r="K8" s="3">
        <v>1799.52</v>
      </c>
      <c r="L8" s="11">
        <v>0.96079999999999999</v>
      </c>
      <c r="M8" s="11">
        <v>-7.8270670460865277E-2</v>
      </c>
      <c r="N8" s="3">
        <v>1.29</v>
      </c>
      <c r="O8" s="6">
        <v>1.35</v>
      </c>
    </row>
    <row r="9" spans="1:15" x14ac:dyDescent="0.3">
      <c r="A9" s="4" t="s">
        <v>278</v>
      </c>
      <c r="B9" s="5" t="s">
        <v>355</v>
      </c>
      <c r="C9" s="5" t="s">
        <v>356</v>
      </c>
      <c r="D9" s="10">
        <v>47066</v>
      </c>
      <c r="E9" s="5" t="s">
        <v>101</v>
      </c>
      <c r="F9" s="5" t="s">
        <v>23</v>
      </c>
      <c r="G9" s="10">
        <v>45605</v>
      </c>
      <c r="H9" s="5">
        <v>90</v>
      </c>
      <c r="I9" s="5">
        <v>1488</v>
      </c>
      <c r="J9" s="10">
        <v>45471</v>
      </c>
      <c r="K9" s="5">
        <v>1799.58</v>
      </c>
      <c r="L9" s="12">
        <v>0.82689999999999997</v>
      </c>
      <c r="M9" s="12">
        <v>-3.1592830708154523E-2</v>
      </c>
      <c r="N9" s="5">
        <v>2.16</v>
      </c>
      <c r="O9" s="7">
        <v>2.3199999999999998</v>
      </c>
    </row>
    <row r="10" spans="1:15" x14ac:dyDescent="0.3">
      <c r="A10" s="4" t="s">
        <v>377</v>
      </c>
      <c r="B10" s="5" t="s">
        <v>378</v>
      </c>
      <c r="C10" s="5" t="s">
        <v>379</v>
      </c>
      <c r="D10" s="10">
        <v>45838</v>
      </c>
      <c r="E10" s="5" t="s">
        <v>267</v>
      </c>
      <c r="F10" s="5" t="s">
        <v>66</v>
      </c>
      <c r="G10" s="10">
        <v>45838</v>
      </c>
      <c r="H10" s="5">
        <v>100</v>
      </c>
      <c r="I10" s="5">
        <v>158.69999999999999</v>
      </c>
      <c r="J10" s="10">
        <v>45471</v>
      </c>
      <c r="K10" s="5">
        <v>100</v>
      </c>
      <c r="L10" s="12">
        <v>1.587</v>
      </c>
      <c r="M10" s="18">
        <v>-0.1128680621204154</v>
      </c>
      <c r="N10" s="5">
        <v>0.98</v>
      </c>
      <c r="O10" s="7">
        <v>1</v>
      </c>
    </row>
    <row r="11" spans="1:15" x14ac:dyDescent="0.3">
      <c r="A11" s="2" t="s">
        <v>377</v>
      </c>
      <c r="B11" s="3" t="s">
        <v>378</v>
      </c>
      <c r="C11" s="3" t="s">
        <v>388</v>
      </c>
      <c r="D11" s="9">
        <v>46203</v>
      </c>
      <c r="E11" s="3" t="s">
        <v>267</v>
      </c>
      <c r="F11" s="3" t="s">
        <v>66</v>
      </c>
      <c r="G11" s="9">
        <v>46203</v>
      </c>
      <c r="H11" s="3">
        <v>100</v>
      </c>
      <c r="I11" s="3">
        <v>181.75</v>
      </c>
      <c r="J11" s="9">
        <v>45471</v>
      </c>
      <c r="K11" s="3">
        <v>100</v>
      </c>
      <c r="L11" s="11">
        <v>1.8174999999999999</v>
      </c>
      <c r="M11" s="17">
        <v>-6.1065030510503382E-2</v>
      </c>
      <c r="N11" s="3">
        <v>1.94</v>
      </c>
      <c r="O11" s="6">
        <v>2</v>
      </c>
    </row>
    <row r="12" spans="1:15" x14ac:dyDescent="0.3">
      <c r="A12" s="4" t="s">
        <v>377</v>
      </c>
      <c r="B12" s="5" t="s">
        <v>378</v>
      </c>
      <c r="C12" s="5" t="s">
        <v>395</v>
      </c>
      <c r="D12" s="10">
        <v>46568</v>
      </c>
      <c r="E12" s="5" t="s">
        <v>267</v>
      </c>
      <c r="F12" s="5" t="s">
        <v>66</v>
      </c>
      <c r="G12" s="10">
        <v>46568</v>
      </c>
      <c r="H12" s="5">
        <v>100</v>
      </c>
      <c r="I12" s="5">
        <v>170</v>
      </c>
      <c r="J12" s="10">
        <v>45471</v>
      </c>
      <c r="K12" s="5">
        <v>100</v>
      </c>
      <c r="L12" s="12">
        <v>1.7</v>
      </c>
      <c r="M12" s="18">
        <v>-1.9956101311708219E-2</v>
      </c>
      <c r="N12" s="5">
        <v>2.91</v>
      </c>
      <c r="O12" s="7">
        <v>3</v>
      </c>
    </row>
    <row r="13" spans="1:15" x14ac:dyDescent="0.3">
      <c r="A13" s="2" t="s">
        <v>377</v>
      </c>
      <c r="B13" s="3" t="s">
        <v>378</v>
      </c>
      <c r="C13" s="3" t="s">
        <v>402</v>
      </c>
      <c r="D13" s="9">
        <v>46934</v>
      </c>
      <c r="E13" s="3" t="s">
        <v>267</v>
      </c>
      <c r="F13" s="3" t="s">
        <v>66</v>
      </c>
      <c r="G13" s="9">
        <v>46934</v>
      </c>
      <c r="H13" s="3">
        <v>100</v>
      </c>
      <c r="I13" s="3">
        <v>148</v>
      </c>
      <c r="J13" s="9">
        <v>45471</v>
      </c>
      <c r="K13" s="3">
        <v>201.87</v>
      </c>
      <c r="L13" s="11">
        <v>0.73319999999999996</v>
      </c>
      <c r="M13" s="17">
        <v>1.8022380829635139E-2</v>
      </c>
      <c r="N13" s="3">
        <v>3.84</v>
      </c>
      <c r="O13" s="6">
        <v>4</v>
      </c>
    </row>
    <row r="14" spans="1:15" x14ac:dyDescent="0.3">
      <c r="A14" s="4" t="s">
        <v>377</v>
      </c>
      <c r="B14" s="5" t="s">
        <v>378</v>
      </c>
      <c r="C14" s="5" t="s">
        <v>410</v>
      </c>
      <c r="D14" s="10">
        <v>46006</v>
      </c>
      <c r="E14" s="5" t="s">
        <v>267</v>
      </c>
      <c r="F14" s="5" t="s">
        <v>66</v>
      </c>
      <c r="G14" s="10">
        <v>46006</v>
      </c>
      <c r="H14" s="5">
        <v>100</v>
      </c>
      <c r="I14" s="5">
        <v>136.75</v>
      </c>
      <c r="J14" s="10">
        <v>45471</v>
      </c>
      <c r="K14" s="5">
        <v>150.06</v>
      </c>
      <c r="L14" s="12">
        <v>0.9113</v>
      </c>
      <c r="M14" s="18">
        <v>-7.8124402058578957E-2</v>
      </c>
      <c r="N14" s="5">
        <v>1.41</v>
      </c>
      <c r="O14" s="7">
        <v>1.75</v>
      </c>
    </row>
    <row r="15" spans="1:15" x14ac:dyDescent="0.3">
      <c r="A15" s="2" t="s">
        <v>377</v>
      </c>
      <c r="B15" s="3" t="s">
        <v>378</v>
      </c>
      <c r="C15" s="3" t="s">
        <v>417</v>
      </c>
      <c r="D15" s="9">
        <v>46371</v>
      </c>
      <c r="E15" s="3" t="s">
        <v>267</v>
      </c>
      <c r="F15" s="3" t="s">
        <v>66</v>
      </c>
      <c r="G15" s="9">
        <v>46371</v>
      </c>
      <c r="H15" s="3">
        <v>100</v>
      </c>
      <c r="I15" s="3">
        <v>128</v>
      </c>
      <c r="J15" s="9">
        <v>45471</v>
      </c>
      <c r="K15" s="3">
        <v>149.24</v>
      </c>
      <c r="L15" s="11">
        <v>0.85770000000000002</v>
      </c>
      <c r="M15" s="17">
        <v>-3.6358616677768962E-2</v>
      </c>
      <c r="N15" s="3">
        <v>2.38</v>
      </c>
      <c r="O15" s="6">
        <v>2.46</v>
      </c>
    </row>
    <row r="16" spans="1:15" x14ac:dyDescent="0.3">
      <c r="A16" s="4" t="s">
        <v>377</v>
      </c>
      <c r="B16" s="5" t="s">
        <v>378</v>
      </c>
      <c r="C16" s="5" t="s">
        <v>425</v>
      </c>
      <c r="D16" s="10">
        <v>46736</v>
      </c>
      <c r="E16" s="5" t="s">
        <v>267</v>
      </c>
      <c r="F16" s="5" t="s">
        <v>66</v>
      </c>
      <c r="G16" s="10">
        <v>46736</v>
      </c>
      <c r="H16" s="5">
        <v>100</v>
      </c>
      <c r="I16" s="5">
        <v>115.5</v>
      </c>
      <c r="J16" s="10">
        <v>45471</v>
      </c>
      <c r="K16" s="5">
        <v>149.24</v>
      </c>
      <c r="L16" s="12">
        <v>0.77390000000000003</v>
      </c>
      <c r="M16" s="18">
        <v>6.0711695456237003E-3</v>
      </c>
      <c r="N16" s="5">
        <v>3.33</v>
      </c>
      <c r="O16" s="7">
        <v>3.46</v>
      </c>
    </row>
  </sheetData>
  <autoFilter ref="A1:O1" xr:uid="{99EB33B5-3159-4480-BE34-6996F76CA9E9}">
    <sortState xmlns:xlrd2="http://schemas.microsoft.com/office/spreadsheetml/2017/richdata2" ref="A2:O1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</vt:lpstr>
      <vt:lpstr>Numericos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2026-01-20T20:19:46Z</dcterms:created>
  <dcterms:modified xsi:type="dcterms:W3CDTF">2026-01-27T15:56:49Z</dcterms:modified>
</cp:coreProperties>
</file>