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Python Script\Github\IBNR-NIIF-17\test\"/>
    </mc:Choice>
  </mc:AlternateContent>
  <xr:revisionPtr revIDLastSave="0" documentId="13_ncr:1_{9F62DCD4-30B2-42F2-934E-DAE295AC9B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Sheet1!$V$47:$V$52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E17" i="1"/>
  <c r="E16" i="1" s="1"/>
  <c r="E15" i="1" s="1"/>
  <c r="E14" i="1" s="1"/>
  <c r="E13" i="1" s="1"/>
  <c r="E12" i="1" s="1"/>
  <c r="E11" i="1" s="1"/>
  <c r="E10" i="1" s="1"/>
  <c r="E9" i="1" s="1"/>
  <c r="E8" i="1" s="1"/>
  <c r="E7" i="1" s="1"/>
  <c r="E6" i="1" s="1"/>
  <c r="E5" i="1" s="1"/>
  <c r="E4" i="1" s="1"/>
  <c r="E3" i="1" s="1"/>
  <c r="E2" i="1" s="1"/>
  <c r="C107" i="1"/>
  <c r="C106" i="1" s="1"/>
  <c r="C105" i="1" s="1"/>
  <c r="C104" i="1" s="1"/>
  <c r="C103" i="1" s="1"/>
  <c r="C102" i="1" s="1"/>
  <c r="C101" i="1" s="1"/>
  <c r="C100" i="1" s="1"/>
  <c r="C99" i="1" s="1"/>
  <c r="C98" i="1" s="1"/>
  <c r="C97" i="1" s="1"/>
  <c r="C96" i="1" s="1"/>
  <c r="C95" i="1" s="1"/>
  <c r="C94" i="1" s="1"/>
  <c r="C93" i="1" s="1"/>
  <c r="C92" i="1" s="1"/>
  <c r="C91" i="1" s="1"/>
  <c r="C90" i="1" s="1"/>
  <c r="C89" i="1" s="1"/>
  <c r="C88" i="1" s="1"/>
  <c r="C87" i="1" s="1"/>
  <c r="C86" i="1" s="1"/>
  <c r="C85" i="1" s="1"/>
  <c r="C84" i="1" s="1"/>
  <c r="C83" i="1" s="1"/>
  <c r="C82" i="1" s="1"/>
  <c r="C81" i="1" s="1"/>
  <c r="C80" i="1" s="1"/>
  <c r="C79" i="1" s="1"/>
  <c r="C78" i="1" s="1"/>
  <c r="C77" i="1" s="1"/>
  <c r="C76" i="1" s="1"/>
  <c r="C75" i="1" s="1"/>
  <c r="C74" i="1" s="1"/>
  <c r="C73" i="1" s="1"/>
  <c r="C72" i="1" s="1"/>
  <c r="C71" i="1" s="1"/>
  <c r="C70" i="1" s="1"/>
  <c r="C69" i="1" s="1"/>
  <c r="C68" i="1" s="1"/>
  <c r="C67" i="1" s="1"/>
  <c r="C66" i="1" s="1"/>
  <c r="C65" i="1" s="1"/>
  <c r="C64" i="1" s="1"/>
  <c r="C63" i="1" s="1"/>
  <c r="C62" i="1" s="1"/>
  <c r="C61" i="1" s="1"/>
  <c r="C60" i="1" s="1"/>
  <c r="C59" i="1" s="1"/>
  <c r="C58" i="1" s="1"/>
  <c r="C57" i="1" s="1"/>
  <c r="C56" i="1" s="1"/>
  <c r="C55" i="1" s="1"/>
  <c r="C54" i="1" s="1"/>
  <c r="C53" i="1" s="1"/>
  <c r="C52" i="1" s="1"/>
  <c r="C51" i="1" s="1"/>
  <c r="C50" i="1" s="1"/>
  <c r="C49" i="1" s="1"/>
  <c r="C48" i="1" s="1"/>
  <c r="C47" i="1" s="1"/>
  <c r="C46" i="1" s="1"/>
  <c r="C45" i="1" s="1"/>
  <c r="C44" i="1" s="1"/>
  <c r="C43" i="1" s="1"/>
  <c r="C42" i="1" s="1"/>
  <c r="C41" i="1" s="1"/>
  <c r="C40" i="1" s="1"/>
  <c r="C39" i="1" s="1"/>
  <c r="C38" i="1" s="1"/>
  <c r="C37" i="1" s="1"/>
  <c r="C36" i="1" s="1"/>
  <c r="C35" i="1" s="1"/>
  <c r="C34" i="1" s="1"/>
  <c r="C33" i="1" s="1"/>
  <c r="C32" i="1" s="1"/>
  <c r="C31" i="1" s="1"/>
  <c r="C30" i="1" s="1"/>
  <c r="C29" i="1" s="1"/>
  <c r="C28" i="1" s="1"/>
  <c r="C27" i="1" s="1"/>
  <c r="C26" i="1" s="1"/>
  <c r="C25" i="1" s="1"/>
  <c r="C24" i="1" s="1"/>
  <c r="C23" i="1" s="1"/>
  <c r="C21" i="1" s="1"/>
  <c r="C20" i="1" s="1"/>
  <c r="C19" i="1" s="1"/>
  <c r="C18" i="1" s="1"/>
  <c r="C17" i="1" s="1"/>
  <c r="C16" i="1" s="1"/>
  <c r="C15" i="1" s="1"/>
  <c r="C14" i="1" s="1"/>
  <c r="C13" i="1" s="1"/>
  <c r="C12" i="1" s="1"/>
  <c r="C11" i="1" s="1"/>
  <c r="C10" i="1" s="1"/>
  <c r="C9" i="1" s="1"/>
  <c r="C8" i="1" s="1"/>
  <c r="C7" i="1" s="1"/>
  <c r="C6" i="1" s="1"/>
  <c r="C5" i="1" s="1"/>
  <c r="C4" i="1" s="1"/>
  <c r="C3" i="1" s="1"/>
  <c r="C2" i="1" s="1"/>
  <c r="H7" i="1"/>
  <c r="J7" i="1"/>
  <c r="K7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51" i="1"/>
  <c r="M51" i="1" s="1"/>
  <c r="P51" i="1"/>
  <c r="Q104" i="1"/>
  <c r="P110" i="1"/>
  <c r="P111" i="1"/>
  <c r="P112" i="1"/>
  <c r="P113" i="1"/>
  <c r="P114" i="1"/>
  <c r="Q115" i="1" s="1"/>
  <c r="P115" i="1"/>
  <c r="P116" i="1"/>
  <c r="P117" i="1"/>
  <c r="P118" i="1"/>
  <c r="P119" i="1"/>
  <c r="P120" i="1"/>
  <c r="P121" i="1"/>
  <c r="P122" i="1"/>
  <c r="P123" i="1"/>
  <c r="P124" i="1"/>
  <c r="P125" i="1"/>
  <c r="P126" i="1"/>
  <c r="Q127" i="1" s="1"/>
  <c r="P127" i="1"/>
  <c r="P128" i="1"/>
  <c r="P129" i="1"/>
  <c r="P130" i="1"/>
  <c r="P131" i="1"/>
  <c r="P132" i="1"/>
  <c r="P133" i="1"/>
  <c r="P134" i="1"/>
  <c r="P135" i="1"/>
  <c r="P136" i="1"/>
  <c r="P137" i="1"/>
  <c r="P138" i="1"/>
  <c r="Q139" i="1" s="1"/>
  <c r="P139" i="1"/>
  <c r="P140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52" i="1"/>
  <c r="P53" i="1"/>
  <c r="P54" i="1"/>
  <c r="P55" i="1"/>
  <c r="P56" i="1"/>
  <c r="P57" i="1"/>
  <c r="P58" i="1"/>
  <c r="P59" i="1"/>
  <c r="Q60" i="1" s="1"/>
  <c r="P50" i="1"/>
  <c r="Q51" i="1" s="1"/>
  <c r="W49" i="1"/>
  <c r="W50" i="1"/>
  <c r="W51" i="1"/>
  <c r="W52" i="1"/>
  <c r="W53" i="1"/>
  <c r="W48" i="1"/>
  <c r="K4" i="1"/>
  <c r="K5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3" i="1"/>
  <c r="J3" i="1"/>
  <c r="J4" i="1"/>
  <c r="J5" i="1"/>
  <c r="J6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2" i="1"/>
  <c r="H3" i="1"/>
  <c r="H4" i="1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2" i="1"/>
  <c r="Q98" i="1" l="1"/>
  <c r="Q86" i="1"/>
  <c r="Q74" i="1"/>
  <c r="Q62" i="1"/>
  <c r="Q131" i="1"/>
  <c r="R131" i="1" s="1"/>
  <c r="Q119" i="1"/>
  <c r="R119" i="1" s="1"/>
  <c r="Q91" i="1"/>
  <c r="R91" i="1" s="1"/>
  <c r="Q67" i="1"/>
  <c r="R67" i="1" s="1"/>
  <c r="R51" i="1"/>
  <c r="Q107" i="1"/>
  <c r="R107" i="1" s="1"/>
  <c r="Q95" i="1"/>
  <c r="R95" i="1" s="1"/>
  <c r="Q83" i="1"/>
  <c r="R83" i="1" s="1"/>
  <c r="Q71" i="1"/>
  <c r="R71" i="1" s="1"/>
  <c r="Q140" i="1"/>
  <c r="R140" i="1" s="1"/>
  <c r="Q128" i="1"/>
  <c r="R128" i="1" s="1"/>
  <c r="Q116" i="1"/>
  <c r="R116" i="1" s="1"/>
  <c r="R60" i="1"/>
  <c r="R139" i="1"/>
  <c r="R127" i="1"/>
  <c r="R115" i="1"/>
  <c r="Q103" i="1"/>
  <c r="R103" i="1" s="1"/>
  <c r="Q92" i="1"/>
  <c r="R92" i="1" s="1"/>
  <c r="Q79" i="1"/>
  <c r="R79" i="1" s="1"/>
  <c r="Q68" i="1"/>
  <c r="R68" i="1" s="1"/>
  <c r="Q56" i="1"/>
  <c r="R56" i="1" s="1"/>
  <c r="Q102" i="1"/>
  <c r="R102" i="1" s="1"/>
  <c r="Q90" i="1"/>
  <c r="R90" i="1" s="1"/>
  <c r="Q78" i="1"/>
  <c r="R78" i="1" s="1"/>
  <c r="Q66" i="1"/>
  <c r="R66" i="1" s="1"/>
  <c r="Q135" i="1"/>
  <c r="R135" i="1" s="1"/>
  <c r="Q123" i="1"/>
  <c r="R123" i="1" s="1"/>
  <c r="Q111" i="1"/>
  <c r="R111" i="1" s="1"/>
  <c r="AB54" i="1"/>
  <c r="AB55" i="1" s="1"/>
  <c r="R104" i="1"/>
  <c r="Q54" i="1"/>
  <c r="R54" i="1" s="1"/>
  <c r="Q100" i="1"/>
  <c r="R100" i="1" s="1"/>
  <c r="Q88" i="1"/>
  <c r="R88" i="1" s="1"/>
  <c r="Q76" i="1"/>
  <c r="R76" i="1" s="1"/>
  <c r="Q64" i="1"/>
  <c r="R64" i="1" s="1"/>
  <c r="Q133" i="1"/>
  <c r="R133" i="1" s="1"/>
  <c r="Q121" i="1"/>
  <c r="R121" i="1" s="1"/>
  <c r="X52" i="1"/>
  <c r="R98" i="1"/>
  <c r="R86" i="1"/>
  <c r="R74" i="1"/>
  <c r="R62" i="1"/>
  <c r="Z54" i="1"/>
  <c r="Z55" i="1" s="1"/>
  <c r="Q109" i="1"/>
  <c r="R109" i="1" s="1"/>
  <c r="Q97" i="1"/>
  <c r="R97" i="1" s="1"/>
  <c r="Q85" i="1"/>
  <c r="R85" i="1" s="1"/>
  <c r="Q73" i="1"/>
  <c r="R73" i="1" s="1"/>
  <c r="Q61" i="1"/>
  <c r="R61" i="1" s="1"/>
  <c r="Q130" i="1"/>
  <c r="R130" i="1" s="1"/>
  <c r="Q118" i="1"/>
  <c r="R118" i="1" s="1"/>
  <c r="Q106" i="1"/>
  <c r="R106" i="1" s="1"/>
  <c r="Q94" i="1"/>
  <c r="R94" i="1" s="1"/>
  <c r="Q82" i="1"/>
  <c r="R82" i="1" s="1"/>
  <c r="Q70" i="1"/>
  <c r="R70" i="1" s="1"/>
  <c r="Q59" i="1"/>
  <c r="R59" i="1" s="1"/>
  <c r="Q105" i="1"/>
  <c r="R105" i="1" s="1"/>
  <c r="Q93" i="1"/>
  <c r="R93" i="1" s="1"/>
  <c r="Q81" i="1"/>
  <c r="R81" i="1" s="1"/>
  <c r="Q69" i="1"/>
  <c r="R69" i="1" s="1"/>
  <c r="Q138" i="1"/>
  <c r="R138" i="1" s="1"/>
  <c r="Q126" i="1"/>
  <c r="R126" i="1" s="1"/>
  <c r="Q114" i="1"/>
  <c r="R114" i="1" s="1"/>
  <c r="Q58" i="1"/>
  <c r="R58" i="1" s="1"/>
  <c r="Q137" i="1"/>
  <c r="R137" i="1" s="1"/>
  <c r="Q125" i="1"/>
  <c r="R125" i="1" s="1"/>
  <c r="Q113" i="1"/>
  <c r="R113" i="1" s="1"/>
  <c r="Q57" i="1"/>
  <c r="R57" i="1" s="1"/>
  <c r="Q136" i="1"/>
  <c r="R136" i="1" s="1"/>
  <c r="Q124" i="1"/>
  <c r="R124" i="1" s="1"/>
  <c r="Q112" i="1"/>
  <c r="R112" i="1" s="1"/>
  <c r="Q80" i="1"/>
  <c r="R80" i="1" s="1"/>
  <c r="X53" i="1"/>
  <c r="Q55" i="1"/>
  <c r="R55" i="1" s="1"/>
  <c r="Q101" i="1"/>
  <c r="R101" i="1" s="1"/>
  <c r="Q89" i="1"/>
  <c r="R89" i="1" s="1"/>
  <c r="Q77" i="1"/>
  <c r="R77" i="1" s="1"/>
  <c r="Q65" i="1"/>
  <c r="R65" i="1" s="1"/>
  <c r="Q134" i="1"/>
  <c r="R134" i="1" s="1"/>
  <c r="Q122" i="1"/>
  <c r="R122" i="1" s="1"/>
  <c r="Y54" i="1"/>
  <c r="Y55" i="1" s="1"/>
  <c r="Q53" i="1"/>
  <c r="R53" i="1" s="1"/>
  <c r="Q99" i="1"/>
  <c r="R99" i="1" s="1"/>
  <c r="Q87" i="1"/>
  <c r="R87" i="1" s="1"/>
  <c r="Q75" i="1"/>
  <c r="R75" i="1" s="1"/>
  <c r="Q63" i="1"/>
  <c r="R63" i="1" s="1"/>
  <c r="Q132" i="1"/>
  <c r="R132" i="1" s="1"/>
  <c r="Q120" i="1"/>
  <c r="R120" i="1" s="1"/>
  <c r="Q110" i="1"/>
  <c r="R110" i="1" s="1"/>
  <c r="Q52" i="1"/>
  <c r="R52" i="1" s="1"/>
  <c r="AA54" i="1"/>
  <c r="AA55" i="1" s="1"/>
  <c r="Q108" i="1"/>
  <c r="R108" i="1" s="1"/>
  <c r="Q96" i="1"/>
  <c r="R96" i="1" s="1"/>
  <c r="Q84" i="1"/>
  <c r="R84" i="1" s="1"/>
  <c r="Q72" i="1"/>
  <c r="R72" i="1" s="1"/>
  <c r="Q129" i="1"/>
  <c r="R129" i="1" s="1"/>
  <c r="Q117" i="1"/>
  <c r="R117" i="1" s="1"/>
  <c r="M52" i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X50" i="1"/>
  <c r="X54" i="1"/>
  <c r="X55" i="1" s="1"/>
  <c r="X51" i="1"/>
  <c r="X49" i="1"/>
</calcChain>
</file>

<file path=xl/sharedStrings.xml><?xml version="1.0" encoding="utf-8"?>
<sst xmlns="http://schemas.openxmlformats.org/spreadsheetml/2006/main" count="7" uniqueCount="7">
  <si>
    <t>fdi_inv</t>
  </si>
  <si>
    <t>fdi_exp</t>
  </si>
  <si>
    <t>fdi_inv_2</t>
  </si>
  <si>
    <t>fdi_exp_2</t>
  </si>
  <si>
    <t>n</t>
  </si>
  <si>
    <t>GD46</t>
  </si>
  <si>
    <t>Limite para no extrapolar la 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</si>
</sst>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00_);_(* \(#,##0.0000\);_(* &quot;-&quot;??_);_(@_)"/>
    <numFmt numFmtId="165" formatCode="_(* #,##0.00000000_);_(* \(#,##0.000000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NumberFormat="1" applyFont="1"/>
    <xf numFmtId="164" fontId="1" fillId="0" borderId="1" xfId="1" applyNumberFormat="1" applyFont="1" applyBorder="1" applyAlignment="1">
      <alignment horizontal="center" vertical="top"/>
    </xf>
    <xf numFmtId="164" fontId="1" fillId="2" borderId="1" xfId="1" applyNumberFormat="1" applyFont="1" applyFill="1" applyBorder="1" applyAlignment="1">
      <alignment horizontal="center" vertical="top"/>
    </xf>
    <xf numFmtId="164" fontId="0" fillId="2" borderId="0" xfId="1" applyNumberFormat="1" applyFont="1" applyFill="1"/>
    <xf numFmtId="164" fontId="1" fillId="3" borderId="1" xfId="1" applyNumberFormat="1" applyFont="1" applyFill="1" applyBorder="1" applyAlignment="1">
      <alignment horizontal="center" vertical="top"/>
    </xf>
    <xf numFmtId="164" fontId="0" fillId="3" borderId="0" xfId="1" applyNumberFormat="1" applyFont="1" applyFill="1"/>
    <xf numFmtId="9" fontId="0" fillId="0" borderId="0" xfId="2" applyFont="1"/>
    <xf numFmtId="164" fontId="0" fillId="0" borderId="0" xfId="1" applyNumberFormat="1" applyFont="1" applyFill="1"/>
    <xf numFmtId="0" fontId="0" fillId="0" borderId="0" xfId="1" applyNumberFormat="1" applyFont="1"/>
    <xf numFmtId="0" fontId="0" fillId="0" borderId="0" xfId="1" applyNumberFormat="1" applyFont="1" applyFill="1"/>
    <xf numFmtId="0" fontId="0" fillId="2" borderId="0" xfId="1" applyNumberFormat="1" applyFont="1" applyFill="1"/>
    <xf numFmtId="0" fontId="0" fillId="3" borderId="0" xfId="1" applyNumberFormat="1" applyFont="1" applyFill="1"/>
    <xf numFmtId="164" fontId="1" fillId="4" borderId="1" xfId="1" applyNumberFormat="1" applyFont="1" applyFill="1" applyBorder="1" applyAlignment="1">
      <alignment horizontal="center" vertical="top"/>
    </xf>
    <xf numFmtId="164" fontId="0" fillId="4" borderId="0" xfId="1" applyNumberFormat="1" applyFont="1" applyFill="1"/>
    <xf numFmtId="0" fontId="0" fillId="4" borderId="0" xfId="1" applyNumberFormat="1" applyFont="1" applyFill="1"/>
    <xf numFmtId="0" fontId="0" fillId="0" borderId="0" xfId="2" applyNumberFormat="1" applyFont="1"/>
    <xf numFmtId="165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fdi_inv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Sheet1!$B$2:$B$27</c:f>
              <c:numCache>
                <c:formatCode>_(* #,##0.0000_);_(* \(#,##0.0000\);_(* "-"??_);_(@_)</c:formatCode>
                <c:ptCount val="26"/>
                <c:pt idx="0">
                  <c:v>1.329806917990155</c:v>
                </c:pt>
                <c:pt idx="1">
                  <c:v>1.1139698351358469</c:v>
                </c:pt>
                <c:pt idx="2">
                  <c:v>1.0698956424052439</c:v>
                </c:pt>
                <c:pt idx="3">
                  <c:v>1.0466480914545031</c:v>
                </c:pt>
                <c:pt idx="4">
                  <c:v>1.035105730393119</c:v>
                </c:pt>
                <c:pt idx="5">
                  <c:v>1.0266074077763001</c:v>
                </c:pt>
                <c:pt idx="6">
                  <c:v>1.021492827384354</c:v>
                </c:pt>
                <c:pt idx="7">
                  <c:v>1.017864273095592</c:v>
                </c:pt>
                <c:pt idx="8">
                  <c:v>1.015175691707815</c:v>
                </c:pt>
                <c:pt idx="9">
                  <c:v>1.013115437138334</c:v>
                </c:pt>
                <c:pt idx="10">
                  <c:v>1.0114937434581339</c:v>
                </c:pt>
                <c:pt idx="11">
                  <c:v>1.01018899335712</c:v>
                </c:pt>
                <c:pt idx="12">
                  <c:v>1.009119943397671</c:v>
                </c:pt>
                <c:pt idx="13">
                  <c:v>1.0082304250487699</c:v>
                </c:pt>
                <c:pt idx="14">
                  <c:v>1.007480466804507</c:v>
                </c:pt>
                <c:pt idx="15">
                  <c:v>1.006840912930379</c:v>
                </c:pt>
                <c:pt idx="16">
                  <c:v>1.0062900386742499</c:v>
                </c:pt>
                <c:pt idx="17">
                  <c:v>1.00581135236099</c:v>
                </c:pt>
                <c:pt idx="18">
                  <c:v>1.005392128103302</c:v>
                </c:pt>
                <c:pt idx="19">
                  <c:v>1.0050224021446099</c:v>
                </c:pt>
                <c:pt idx="20">
                  <c:v>1.0046942713929341</c:v>
                </c:pt>
                <c:pt idx="21">
                  <c:v>1.0044013936542771</c:v>
                </c:pt>
                <c:pt idx="22">
                  <c:v>1.004138625379897</c:v>
                </c:pt>
                <c:pt idx="23">
                  <c:v>1.003901754973813</c:v>
                </c:pt>
                <c:pt idx="24">
                  <c:v>1.003687303662377</c:v>
                </c:pt>
                <c:pt idx="25">
                  <c:v>1.0034923748858751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62-4B63-8D9C-9FBC74021DC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 fdi_exp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Sheet1!$D$2:$D$27</c:f>
              <c:numCache>
                <c:formatCode>_(* #,##0.0000_);_(* \(#,##0.0000\);_(* "-"??_);_(@_)</c:formatCode>
                <c:ptCount val="26"/>
                <c:pt idx="0">
                  <c:v>1.329806917990155</c:v>
                </c:pt>
                <c:pt idx="1">
                  <c:v>1.1139698351358469</c:v>
                </c:pt>
                <c:pt idx="2">
                  <c:v>1.0698956424052439</c:v>
                </c:pt>
                <c:pt idx="3">
                  <c:v>1.0466480914545031</c:v>
                </c:pt>
                <c:pt idx="4">
                  <c:v>1.035105730393119</c:v>
                </c:pt>
                <c:pt idx="5">
                  <c:v>1.016851030869818</c:v>
                </c:pt>
                <c:pt idx="6">
                  <c:v>1.0098458795971419</c:v>
                </c:pt>
                <c:pt idx="7">
                  <c:v>1.0057528435969481</c:v>
                </c:pt>
                <c:pt idx="8">
                  <c:v>1.003361325834266</c:v>
                </c:pt>
                <c:pt idx="9">
                  <c:v>1.001963987230611</c:v>
                </c:pt>
                <c:pt idx="10">
                  <c:v>1.0011475370232421</c:v>
                </c:pt>
                <c:pt idx="11">
                  <c:v>1.000670493778772</c:v>
                </c:pt>
                <c:pt idx="12">
                  <c:v>1.0003917624427501</c:v>
                </c:pt>
                <c:pt idx="13">
                  <c:v>1.0002289026630951</c:v>
                </c:pt>
                <c:pt idx="14">
                  <c:v>1.000133745411643</c:v>
                </c:pt>
                <c:pt idx="15">
                  <c:v>1.000078146033313</c:v>
                </c:pt>
                <c:pt idx="16">
                  <c:v>1.0000456599030021</c:v>
                </c:pt>
                <c:pt idx="17">
                  <c:v>1.0000266785997161</c:v>
                </c:pt>
                <c:pt idx="18">
                  <c:v>1.000015588024415</c:v>
                </c:pt>
                <c:pt idx="19">
                  <c:v>1.000009107918248</c:v>
                </c:pt>
                <c:pt idx="20">
                  <c:v>1.000005321660564</c:v>
                </c:pt>
                <c:pt idx="21">
                  <c:v>1.000003109390136</c:v>
                </c:pt>
                <c:pt idx="22">
                  <c:v>1.00000181678386</c:v>
                </c:pt>
                <c:pt idx="23">
                  <c:v>1.000001061527646</c:v>
                </c:pt>
                <c:pt idx="24">
                  <c:v>1.0000006202394069</c:v>
                </c:pt>
                <c:pt idx="25">
                  <c:v>1.000000362399343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62-4B63-8D9C-9FBC74021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732912"/>
        <c:axId val="470733392"/>
      </c:lineChart>
      <c:catAx>
        <c:axId val="470732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0733392"/>
        <c:crosses val="autoZero"/>
        <c:auto val="1"/>
        <c:lblAlgn val="ctr"/>
        <c:lblOffset val="100"/>
        <c:noMultiLvlLbl val="0"/>
      </c:catAx>
      <c:valAx>
        <c:axId val="470733392"/>
        <c:scaling>
          <c:orientation val="minMax"/>
          <c:max val="1.0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70732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 fdi_inv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Sheet1!$B$2:$B$21</c:f>
              <c:numCache>
                <c:formatCode>_(* #,##0.0000_);_(* \(#,##0.0000\);_(* "-"??_);_(@_)</c:formatCode>
                <c:ptCount val="20"/>
                <c:pt idx="0">
                  <c:v>1.329806917990155</c:v>
                </c:pt>
                <c:pt idx="1">
                  <c:v>1.1139698351358469</c:v>
                </c:pt>
                <c:pt idx="2">
                  <c:v>1.0698956424052439</c:v>
                </c:pt>
                <c:pt idx="3">
                  <c:v>1.0466480914545031</c:v>
                </c:pt>
                <c:pt idx="4">
                  <c:v>1.035105730393119</c:v>
                </c:pt>
                <c:pt idx="5">
                  <c:v>1.0266074077763001</c:v>
                </c:pt>
                <c:pt idx="6">
                  <c:v>1.021492827384354</c:v>
                </c:pt>
                <c:pt idx="7">
                  <c:v>1.017864273095592</c:v>
                </c:pt>
                <c:pt idx="8">
                  <c:v>1.015175691707815</c:v>
                </c:pt>
                <c:pt idx="9">
                  <c:v>1.013115437138334</c:v>
                </c:pt>
                <c:pt idx="10">
                  <c:v>1.0114937434581339</c:v>
                </c:pt>
                <c:pt idx="11">
                  <c:v>1.01018899335712</c:v>
                </c:pt>
                <c:pt idx="12">
                  <c:v>1.009119943397671</c:v>
                </c:pt>
                <c:pt idx="13">
                  <c:v>1.0082304250487699</c:v>
                </c:pt>
                <c:pt idx="14">
                  <c:v>1.007480466804507</c:v>
                </c:pt>
                <c:pt idx="15">
                  <c:v>1.006840912930379</c:v>
                </c:pt>
                <c:pt idx="16">
                  <c:v>1.0062900386742499</c:v>
                </c:pt>
                <c:pt idx="17">
                  <c:v>1.00581135236099</c:v>
                </c:pt>
                <c:pt idx="18">
                  <c:v>1.005392128103302</c:v>
                </c:pt>
                <c:pt idx="19">
                  <c:v>1.0050224021446099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F-4DEB-87EB-CDF14FC39867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 fdi_exp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Sheet1!$D$2:$D$21</c:f>
              <c:numCache>
                <c:formatCode>_(* #,##0.0000_);_(* \(#,##0.0000\);_(* "-"??_);_(@_)</c:formatCode>
                <c:ptCount val="20"/>
                <c:pt idx="0">
                  <c:v>1.329806917990155</c:v>
                </c:pt>
                <c:pt idx="1">
                  <c:v>1.1139698351358469</c:v>
                </c:pt>
                <c:pt idx="2">
                  <c:v>1.0698956424052439</c:v>
                </c:pt>
                <c:pt idx="3">
                  <c:v>1.0466480914545031</c:v>
                </c:pt>
                <c:pt idx="4">
                  <c:v>1.035105730393119</c:v>
                </c:pt>
                <c:pt idx="5">
                  <c:v>1.016851030869818</c:v>
                </c:pt>
                <c:pt idx="6">
                  <c:v>1.0098458795971419</c:v>
                </c:pt>
                <c:pt idx="7">
                  <c:v>1.0057528435969481</c:v>
                </c:pt>
                <c:pt idx="8">
                  <c:v>1.003361325834266</c:v>
                </c:pt>
                <c:pt idx="9">
                  <c:v>1.001963987230611</c:v>
                </c:pt>
                <c:pt idx="10">
                  <c:v>1.0011475370232421</c:v>
                </c:pt>
                <c:pt idx="11">
                  <c:v>1.000670493778772</c:v>
                </c:pt>
                <c:pt idx="12">
                  <c:v>1.0003917624427501</c:v>
                </c:pt>
                <c:pt idx="13">
                  <c:v>1.0002289026630951</c:v>
                </c:pt>
                <c:pt idx="14">
                  <c:v>1.000133745411643</c:v>
                </c:pt>
                <c:pt idx="15">
                  <c:v>1.000078146033313</c:v>
                </c:pt>
                <c:pt idx="16">
                  <c:v>1.0000456599030021</c:v>
                </c:pt>
                <c:pt idx="17">
                  <c:v>1.0000266785997161</c:v>
                </c:pt>
                <c:pt idx="18">
                  <c:v>1.000015588024415</c:v>
                </c:pt>
                <c:pt idx="19">
                  <c:v>1.000009107918248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DF-4DEB-87EB-CDF14FC39867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 fdi_inv_2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Sheet1!$F$2:$F$21</c:f>
              <c:numCache>
                <c:formatCode>_(* #,##0.0000_);_(* \(#,##0.0000\);_(* "-"??_);_(@_)</c:formatCode>
                <c:ptCount val="20"/>
                <c:pt idx="0">
                  <c:v>1.380110322465729</c:v>
                </c:pt>
                <c:pt idx="1">
                  <c:v>1.09696149636919</c:v>
                </c:pt>
                <c:pt idx="2">
                  <c:v>1.082847908318249</c:v>
                </c:pt>
                <c:pt idx="3">
                  <c:v>1.054359747181014</c:v>
                </c:pt>
                <c:pt idx="4">
                  <c:v>1.043336215279298</c:v>
                </c:pt>
                <c:pt idx="5">
                  <c:v>1.036636238199478</c:v>
                </c:pt>
                <c:pt idx="6">
                  <c:v>1.0284803612393101</c:v>
                </c:pt>
                <c:pt idx="7">
                  <c:v>1.023906177757814</c:v>
                </c:pt>
                <c:pt idx="8">
                  <c:v>1.0170646964485059</c:v>
                </c:pt>
                <c:pt idx="9">
                  <c:v>1.021844462745455</c:v>
                </c:pt>
                <c:pt idx="10">
                  <c:v>1.0154186420174149</c:v>
                </c:pt>
                <c:pt idx="11">
                  <c:v>1.0065586537310489</c:v>
                </c:pt>
                <c:pt idx="12">
                  <c:v>1.009505709548878</c:v>
                </c:pt>
                <c:pt idx="13">
                  <c:v>1.0057418287902069</c:v>
                </c:pt>
                <c:pt idx="14">
                  <c:v>1.007259658482393</c:v>
                </c:pt>
                <c:pt idx="15">
                  <c:v>1.0043708277804979</c:v>
                </c:pt>
                <c:pt idx="16">
                  <c:v>1.0039556124597</c:v>
                </c:pt>
                <c:pt idx="17">
                  <c:v>1.002300460529234</c:v>
                </c:pt>
                <c:pt idx="18">
                  <c:v>1.002528624078783</c:v>
                </c:pt>
                <c:pt idx="19">
                  <c:v>0.9998101954599804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DF-4DEB-87EB-CDF14FC39867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 fdi_exp_2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Sheet1!$G$2:$G$21</c:f>
              <c:numCache>
                <c:formatCode>_(* #,##0.0000_);_(* \(#,##0.0000\);_(* "-"??_);_(@_)</c:formatCode>
                <c:ptCount val="20"/>
                <c:pt idx="0">
                  <c:v>1.380110322465729</c:v>
                </c:pt>
                <c:pt idx="1">
                  <c:v>1.09696149636919</c:v>
                </c:pt>
                <c:pt idx="2">
                  <c:v>1.082847908318249</c:v>
                </c:pt>
                <c:pt idx="3">
                  <c:v>1.054359747181014</c:v>
                </c:pt>
                <c:pt idx="4">
                  <c:v>1.043336215279298</c:v>
                </c:pt>
                <c:pt idx="5">
                  <c:v>1.036636238199478</c:v>
                </c:pt>
                <c:pt idx="6">
                  <c:v>1.0284803612393101</c:v>
                </c:pt>
                <c:pt idx="7">
                  <c:v>1.023906177757814</c:v>
                </c:pt>
                <c:pt idx="8">
                  <c:v>1.0170646964485059</c:v>
                </c:pt>
                <c:pt idx="9">
                  <c:v>1.021844462745455</c:v>
                </c:pt>
                <c:pt idx="10">
                  <c:v>1.0154186420174149</c:v>
                </c:pt>
                <c:pt idx="11">
                  <c:v>1.0065586537310489</c:v>
                </c:pt>
                <c:pt idx="12">
                  <c:v>1.009505709548878</c:v>
                </c:pt>
                <c:pt idx="13">
                  <c:v>1.0057418287902069</c:v>
                </c:pt>
                <c:pt idx="14">
                  <c:v>1.007259658482393</c:v>
                </c:pt>
                <c:pt idx="15">
                  <c:v>1.0043708277804979</c:v>
                </c:pt>
                <c:pt idx="16">
                  <c:v>1.0039556124597</c:v>
                </c:pt>
                <c:pt idx="17">
                  <c:v>1.002300460529234</c:v>
                </c:pt>
                <c:pt idx="18">
                  <c:v>1.002528624078783</c:v>
                </c:pt>
                <c:pt idx="19">
                  <c:v>0.9998101954599804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DF-4DEB-87EB-CDF14FC39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7891232"/>
        <c:axId val="467893632"/>
      </c:lineChart>
      <c:catAx>
        <c:axId val="46789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7893632"/>
        <c:crosses val="autoZero"/>
        <c:auto val="1"/>
        <c:lblAlgn val="ctr"/>
        <c:lblOffset val="100"/>
        <c:noMultiLvlLbl val="0"/>
      </c:catAx>
      <c:valAx>
        <c:axId val="467893632"/>
        <c:scaling>
          <c:orientation val="minMax"/>
          <c:max val="1.1000000000000001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678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Sheet1!$O$50:$O$140</c:f>
              <c:numCache>
                <c:formatCode>General</c:formatCode>
                <c:ptCount val="91"/>
                <c:pt idx="0">
                  <c:v>1</c:v>
                </c:pt>
                <c:pt idx="1">
                  <c:v>1.1000000000000001</c:v>
                </c:pt>
                <c:pt idx="2">
                  <c:v>1.2</c:v>
                </c:pt>
                <c:pt idx="3">
                  <c:v>1.3</c:v>
                </c:pt>
                <c:pt idx="4">
                  <c:v>1.4</c:v>
                </c:pt>
                <c:pt idx="5">
                  <c:v>1.5</c:v>
                </c:pt>
                <c:pt idx="6">
                  <c:v>1.6</c:v>
                </c:pt>
                <c:pt idx="7">
                  <c:v>1.7</c:v>
                </c:pt>
                <c:pt idx="8">
                  <c:v>1.8</c:v>
                </c:pt>
                <c:pt idx="9">
                  <c:v>1.9</c:v>
                </c:pt>
                <c:pt idx="10">
                  <c:v>2</c:v>
                </c:pt>
                <c:pt idx="11">
                  <c:v>2.1</c:v>
                </c:pt>
                <c:pt idx="12">
                  <c:v>2.2000000000000002</c:v>
                </c:pt>
                <c:pt idx="13">
                  <c:v>2.2999999999999998</c:v>
                </c:pt>
                <c:pt idx="14">
                  <c:v>2.4</c:v>
                </c:pt>
                <c:pt idx="15">
                  <c:v>2.5</c:v>
                </c:pt>
                <c:pt idx="16">
                  <c:v>2.6</c:v>
                </c:pt>
                <c:pt idx="17">
                  <c:v>2.7</c:v>
                </c:pt>
                <c:pt idx="18">
                  <c:v>2.8</c:v>
                </c:pt>
                <c:pt idx="19">
                  <c:v>2.9</c:v>
                </c:pt>
                <c:pt idx="20">
                  <c:v>3</c:v>
                </c:pt>
                <c:pt idx="21">
                  <c:v>3.1</c:v>
                </c:pt>
                <c:pt idx="22">
                  <c:v>3.2</c:v>
                </c:pt>
                <c:pt idx="23">
                  <c:v>3.3</c:v>
                </c:pt>
                <c:pt idx="24">
                  <c:v>3.4</c:v>
                </c:pt>
                <c:pt idx="25">
                  <c:v>3.5</c:v>
                </c:pt>
                <c:pt idx="26">
                  <c:v>3.6</c:v>
                </c:pt>
                <c:pt idx="27">
                  <c:v>3.7</c:v>
                </c:pt>
                <c:pt idx="28">
                  <c:v>3.8</c:v>
                </c:pt>
                <c:pt idx="29">
                  <c:v>3.9</c:v>
                </c:pt>
                <c:pt idx="30">
                  <c:v>4</c:v>
                </c:pt>
                <c:pt idx="31">
                  <c:v>4.0999999999999996</c:v>
                </c:pt>
                <c:pt idx="32">
                  <c:v>4.2</c:v>
                </c:pt>
                <c:pt idx="33">
                  <c:v>4.3</c:v>
                </c:pt>
                <c:pt idx="34">
                  <c:v>4.4000000000000004</c:v>
                </c:pt>
                <c:pt idx="35">
                  <c:v>4.5</c:v>
                </c:pt>
                <c:pt idx="36">
                  <c:v>4.5999999999999996</c:v>
                </c:pt>
                <c:pt idx="37">
                  <c:v>4.7</c:v>
                </c:pt>
                <c:pt idx="38">
                  <c:v>4.8</c:v>
                </c:pt>
                <c:pt idx="39">
                  <c:v>4.9000000000000004</c:v>
                </c:pt>
                <c:pt idx="40">
                  <c:v>5</c:v>
                </c:pt>
                <c:pt idx="41">
                  <c:v>5.0999999999999996</c:v>
                </c:pt>
                <c:pt idx="42">
                  <c:v>5.2</c:v>
                </c:pt>
                <c:pt idx="43">
                  <c:v>5.3</c:v>
                </c:pt>
                <c:pt idx="44">
                  <c:v>5.4</c:v>
                </c:pt>
                <c:pt idx="45">
                  <c:v>5.4999999999999902</c:v>
                </c:pt>
                <c:pt idx="46">
                  <c:v>5.5999999999999899</c:v>
                </c:pt>
                <c:pt idx="47">
                  <c:v>5.7</c:v>
                </c:pt>
                <c:pt idx="48">
                  <c:v>5.7999999999999901</c:v>
                </c:pt>
                <c:pt idx="49">
                  <c:v>5.8999999999999897</c:v>
                </c:pt>
                <c:pt idx="50">
                  <c:v>5.9999999999999902</c:v>
                </c:pt>
                <c:pt idx="51">
                  <c:v>6.0999999999999899</c:v>
                </c:pt>
                <c:pt idx="52">
                  <c:v>6.1999999999999904</c:v>
                </c:pt>
                <c:pt idx="53">
                  <c:v>6.2999999999999901</c:v>
                </c:pt>
                <c:pt idx="54">
                  <c:v>6.3999999999999897</c:v>
                </c:pt>
                <c:pt idx="55">
                  <c:v>6.4999999999999902</c:v>
                </c:pt>
                <c:pt idx="56">
                  <c:v>6.5999999999999899</c:v>
                </c:pt>
                <c:pt idx="57">
                  <c:v>6.6999999999999904</c:v>
                </c:pt>
                <c:pt idx="58">
                  <c:v>6.7999999999999901</c:v>
                </c:pt>
                <c:pt idx="59">
                  <c:v>6.8999999999999897</c:v>
                </c:pt>
                <c:pt idx="60">
                  <c:v>6.9999999999999902</c:v>
                </c:pt>
                <c:pt idx="61">
                  <c:v>7.0999999999999899</c:v>
                </c:pt>
                <c:pt idx="62">
                  <c:v>7.1999999999999904</c:v>
                </c:pt>
                <c:pt idx="63">
                  <c:v>7.2999999999999901</c:v>
                </c:pt>
                <c:pt idx="64">
                  <c:v>7.3999999999999897</c:v>
                </c:pt>
                <c:pt idx="65">
                  <c:v>7.4999999999999902</c:v>
                </c:pt>
                <c:pt idx="66">
                  <c:v>7.5999999999999899</c:v>
                </c:pt>
                <c:pt idx="67">
                  <c:v>7.6999999999999904</c:v>
                </c:pt>
                <c:pt idx="68">
                  <c:v>7.7999999999999901</c:v>
                </c:pt>
                <c:pt idx="69">
                  <c:v>7.8999999999999897</c:v>
                </c:pt>
                <c:pt idx="70">
                  <c:v>7.9999999999999902</c:v>
                </c:pt>
                <c:pt idx="71">
                  <c:v>8.0999999999999908</c:v>
                </c:pt>
                <c:pt idx="72">
                  <c:v>8.1999999999999904</c:v>
                </c:pt>
                <c:pt idx="73">
                  <c:v>8.2999999999999901</c:v>
                </c:pt>
                <c:pt idx="74">
                  <c:v>8.3999999999999897</c:v>
                </c:pt>
                <c:pt idx="75">
                  <c:v>8.4999999999999893</c:v>
                </c:pt>
                <c:pt idx="76">
                  <c:v>8.5999999999999908</c:v>
                </c:pt>
                <c:pt idx="77">
                  <c:v>8.6999999999999904</c:v>
                </c:pt>
                <c:pt idx="78">
                  <c:v>8.7999999999999901</c:v>
                </c:pt>
                <c:pt idx="79">
                  <c:v>8.8999999999999897</c:v>
                </c:pt>
                <c:pt idx="80">
                  <c:v>8.9999999999999893</c:v>
                </c:pt>
                <c:pt idx="81">
                  <c:v>9.0999999999999908</c:v>
                </c:pt>
                <c:pt idx="82">
                  <c:v>9.1999999999999904</c:v>
                </c:pt>
                <c:pt idx="83">
                  <c:v>9.2999999999999901</c:v>
                </c:pt>
                <c:pt idx="84">
                  <c:v>9.3999999999999897</c:v>
                </c:pt>
                <c:pt idx="85">
                  <c:v>9.4999999999999893</c:v>
                </c:pt>
                <c:pt idx="86">
                  <c:v>9.5999999999999908</c:v>
                </c:pt>
                <c:pt idx="87">
                  <c:v>9.6999999999999904</c:v>
                </c:pt>
                <c:pt idx="88">
                  <c:v>9.7999999999999901</c:v>
                </c:pt>
                <c:pt idx="89">
                  <c:v>9.8999999999999897</c:v>
                </c:pt>
                <c:pt idx="90">
                  <c:v>9.9999999999999893</c:v>
                </c:pt>
              </c:numCache>
            </c:numRef>
          </c:cat>
          <c:val>
            <c:numRef>
              <c:f>Sheet1!$P$50:$P$140</c:f>
              <c:numCache>
                <c:formatCode>General</c:formatCode>
                <c:ptCount val="91"/>
                <c:pt idx="0">
                  <c:v>1</c:v>
                </c:pt>
                <c:pt idx="1">
                  <c:v>0.90909090909090906</c:v>
                </c:pt>
                <c:pt idx="2">
                  <c:v>0.83333333333333337</c:v>
                </c:pt>
                <c:pt idx="3">
                  <c:v>0.76923076923076916</c:v>
                </c:pt>
                <c:pt idx="4">
                  <c:v>0.7142857142857143</c:v>
                </c:pt>
                <c:pt idx="5">
                  <c:v>0.66666666666666663</c:v>
                </c:pt>
                <c:pt idx="6">
                  <c:v>0.625</c:v>
                </c:pt>
                <c:pt idx="7">
                  <c:v>0.58823529411764708</c:v>
                </c:pt>
                <c:pt idx="8">
                  <c:v>0.55555555555555558</c:v>
                </c:pt>
                <c:pt idx="9">
                  <c:v>0.52631578947368418</c:v>
                </c:pt>
                <c:pt idx="10">
                  <c:v>0.5</c:v>
                </c:pt>
                <c:pt idx="11">
                  <c:v>0.47619047619047616</c:v>
                </c:pt>
                <c:pt idx="12">
                  <c:v>0.45454545454545453</c:v>
                </c:pt>
                <c:pt idx="13">
                  <c:v>0.43478260869565222</c:v>
                </c:pt>
                <c:pt idx="14">
                  <c:v>0.41666666666666669</c:v>
                </c:pt>
                <c:pt idx="15">
                  <c:v>0.4</c:v>
                </c:pt>
                <c:pt idx="16">
                  <c:v>0.38461538461538458</c:v>
                </c:pt>
                <c:pt idx="17">
                  <c:v>0.37037037037037035</c:v>
                </c:pt>
                <c:pt idx="18">
                  <c:v>0.35714285714285715</c:v>
                </c:pt>
                <c:pt idx="19">
                  <c:v>0.34482758620689657</c:v>
                </c:pt>
                <c:pt idx="20">
                  <c:v>0.33333333333333331</c:v>
                </c:pt>
                <c:pt idx="21">
                  <c:v>0.32258064516129031</c:v>
                </c:pt>
                <c:pt idx="22">
                  <c:v>0.3125</c:v>
                </c:pt>
                <c:pt idx="23">
                  <c:v>0.30303030303030304</c:v>
                </c:pt>
                <c:pt idx="24">
                  <c:v>0.29411764705882354</c:v>
                </c:pt>
                <c:pt idx="25">
                  <c:v>0.2857142857142857</c:v>
                </c:pt>
                <c:pt idx="26">
                  <c:v>0.27777777777777779</c:v>
                </c:pt>
                <c:pt idx="27">
                  <c:v>0.27027027027027023</c:v>
                </c:pt>
                <c:pt idx="28">
                  <c:v>0.26315789473684209</c:v>
                </c:pt>
                <c:pt idx="29">
                  <c:v>0.25641025641025644</c:v>
                </c:pt>
                <c:pt idx="30">
                  <c:v>0.25</c:v>
                </c:pt>
                <c:pt idx="31">
                  <c:v>0.24390243902439027</c:v>
                </c:pt>
                <c:pt idx="32">
                  <c:v>0.23809523809523808</c:v>
                </c:pt>
                <c:pt idx="33">
                  <c:v>0.23255813953488372</c:v>
                </c:pt>
                <c:pt idx="34">
                  <c:v>0.22727272727272727</c:v>
                </c:pt>
                <c:pt idx="35">
                  <c:v>0.22222222222222221</c:v>
                </c:pt>
                <c:pt idx="36">
                  <c:v>0.21739130434782611</c:v>
                </c:pt>
                <c:pt idx="37">
                  <c:v>0.21276595744680851</c:v>
                </c:pt>
                <c:pt idx="38">
                  <c:v>0.20833333333333334</c:v>
                </c:pt>
                <c:pt idx="39">
                  <c:v>0.2040816326530612</c:v>
                </c:pt>
                <c:pt idx="40">
                  <c:v>0.2</c:v>
                </c:pt>
                <c:pt idx="41">
                  <c:v>0.19607843137254904</c:v>
                </c:pt>
                <c:pt idx="42">
                  <c:v>0.19230769230769229</c:v>
                </c:pt>
                <c:pt idx="43">
                  <c:v>0.18867924528301888</c:v>
                </c:pt>
                <c:pt idx="44">
                  <c:v>0.18518518518518517</c:v>
                </c:pt>
                <c:pt idx="45">
                  <c:v>0.18181818181818213</c:v>
                </c:pt>
                <c:pt idx="46">
                  <c:v>0.17857142857142888</c:v>
                </c:pt>
                <c:pt idx="47">
                  <c:v>0.17543859649122806</c:v>
                </c:pt>
                <c:pt idx="48">
                  <c:v>0.17241379310344856</c:v>
                </c:pt>
                <c:pt idx="49">
                  <c:v>0.16949152542372911</c:v>
                </c:pt>
                <c:pt idx="50">
                  <c:v>0.16666666666666693</c:v>
                </c:pt>
                <c:pt idx="51">
                  <c:v>0.16393442622950846</c:v>
                </c:pt>
                <c:pt idx="52">
                  <c:v>0.16129032258064541</c:v>
                </c:pt>
                <c:pt idx="53">
                  <c:v>0.15873015873015897</c:v>
                </c:pt>
                <c:pt idx="54">
                  <c:v>0.15625000000000025</c:v>
                </c:pt>
                <c:pt idx="55">
                  <c:v>0.15384615384615408</c:v>
                </c:pt>
                <c:pt idx="56">
                  <c:v>0.15151515151515174</c:v>
                </c:pt>
                <c:pt idx="57">
                  <c:v>0.14925373134328379</c:v>
                </c:pt>
                <c:pt idx="58">
                  <c:v>0.14705882352941199</c:v>
                </c:pt>
                <c:pt idx="59">
                  <c:v>0.14492753623188429</c:v>
                </c:pt>
                <c:pt idx="60">
                  <c:v>0.14285714285714304</c:v>
                </c:pt>
                <c:pt idx="61">
                  <c:v>0.14084507042253541</c:v>
                </c:pt>
                <c:pt idx="62">
                  <c:v>0.13888888888888906</c:v>
                </c:pt>
                <c:pt idx="63">
                  <c:v>0.1369863013698632</c:v>
                </c:pt>
                <c:pt idx="64">
                  <c:v>0.13513513513513534</c:v>
                </c:pt>
                <c:pt idx="65">
                  <c:v>0.1333333333333335</c:v>
                </c:pt>
                <c:pt idx="66">
                  <c:v>0.13157894736842124</c:v>
                </c:pt>
                <c:pt idx="67">
                  <c:v>0.12987012987013002</c:v>
                </c:pt>
                <c:pt idx="68">
                  <c:v>0.12820512820512836</c:v>
                </c:pt>
                <c:pt idx="69">
                  <c:v>0.12658227848101283</c:v>
                </c:pt>
                <c:pt idx="70">
                  <c:v>0.12500000000000017</c:v>
                </c:pt>
                <c:pt idx="71">
                  <c:v>0.12345679012345694</c:v>
                </c:pt>
                <c:pt idx="72">
                  <c:v>0.12195121951219526</c:v>
                </c:pt>
                <c:pt idx="73">
                  <c:v>0.12048192771084351</c:v>
                </c:pt>
                <c:pt idx="74">
                  <c:v>0.11904761904761919</c:v>
                </c:pt>
                <c:pt idx="75">
                  <c:v>0.11764705882352956</c:v>
                </c:pt>
                <c:pt idx="76">
                  <c:v>0.11627906976744198</c:v>
                </c:pt>
                <c:pt idx="77">
                  <c:v>0.11494252873563231</c:v>
                </c:pt>
                <c:pt idx="78">
                  <c:v>0.11363636363636377</c:v>
                </c:pt>
                <c:pt idx="79">
                  <c:v>0.11235955056179789</c:v>
                </c:pt>
                <c:pt idx="80">
                  <c:v>0.11111111111111124</c:v>
                </c:pt>
                <c:pt idx="81">
                  <c:v>0.10989010989011</c:v>
                </c:pt>
                <c:pt idx="82">
                  <c:v>0.10869565217391315</c:v>
                </c:pt>
                <c:pt idx="83">
                  <c:v>0.10752688172043022</c:v>
                </c:pt>
                <c:pt idx="84">
                  <c:v>0.10638297872340437</c:v>
                </c:pt>
                <c:pt idx="85">
                  <c:v>0.10526315789473696</c:v>
                </c:pt>
                <c:pt idx="86">
                  <c:v>0.10416666666666677</c:v>
                </c:pt>
                <c:pt idx="87">
                  <c:v>0.10309278350515474</c:v>
                </c:pt>
                <c:pt idx="88">
                  <c:v>0.10204081632653071</c:v>
                </c:pt>
                <c:pt idx="89">
                  <c:v>0.10101010101010112</c:v>
                </c:pt>
                <c:pt idx="90">
                  <c:v>0.1000000000000001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4A-4FFD-B057-BB6C49B51B24}"/>
            </c:ext>
          </c:extLst>
        </c:ser>
        <c:ser>
          <c:idx val="0"/>
          <c:order val="1"/>
          <c:tx>
            <c:v>Imp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Sheet1!$Q$50:$Q$140</c:f>
              <c:numCache>
                <c:formatCode>_(* #,##0.0000_);_(* \(#,##0.0000\);_(* "-"??_);_(@_)</c:formatCode>
                <c:ptCount val="91"/>
                <c:pt idx="0">
                  <c:v>0</c:v>
                </c:pt>
                <c:pt idx="1">
                  <c:v>9.0909090909090939E-2</c:v>
                </c:pt>
                <c:pt idx="2">
                  <c:v>7.575757575757569E-2</c:v>
                </c:pt>
                <c:pt idx="3">
                  <c:v>6.4102564102564208E-2</c:v>
                </c:pt>
                <c:pt idx="4">
                  <c:v>5.4945054945054861E-2</c:v>
                </c:pt>
                <c:pt idx="5">
                  <c:v>4.7619047619047672E-2</c:v>
                </c:pt>
                <c:pt idx="6">
                  <c:v>4.166666666666663E-2</c:v>
                </c:pt>
                <c:pt idx="7">
                  <c:v>3.6764705882352922E-2</c:v>
                </c:pt>
                <c:pt idx="8">
                  <c:v>3.2679738562091498E-2</c:v>
                </c:pt>
                <c:pt idx="9">
                  <c:v>2.9239766081871399E-2</c:v>
                </c:pt>
                <c:pt idx="10">
                  <c:v>2.6315789473684181E-2</c:v>
                </c:pt>
                <c:pt idx="11">
                  <c:v>2.3809523809523836E-2</c:v>
                </c:pt>
                <c:pt idx="12">
                  <c:v>2.1645021645021634E-2</c:v>
                </c:pt>
                <c:pt idx="13">
                  <c:v>1.9762845849802313E-2</c:v>
                </c:pt>
                <c:pt idx="14">
                  <c:v>1.8115942028985532E-2</c:v>
                </c:pt>
                <c:pt idx="15">
                  <c:v>1.6666666666666663E-2</c:v>
                </c:pt>
                <c:pt idx="16">
                  <c:v>1.5384615384615441E-2</c:v>
                </c:pt>
                <c:pt idx="17">
                  <c:v>1.4245014245014231E-2</c:v>
                </c:pt>
                <c:pt idx="18">
                  <c:v>1.3227513227513199E-2</c:v>
                </c:pt>
                <c:pt idx="19">
                  <c:v>1.2315270935960576E-2</c:v>
                </c:pt>
                <c:pt idx="20">
                  <c:v>1.149425287356326E-2</c:v>
                </c:pt>
                <c:pt idx="21">
                  <c:v>1.0752688172043001E-2</c:v>
                </c:pt>
                <c:pt idx="22">
                  <c:v>1.0080645161290314E-2</c:v>
                </c:pt>
                <c:pt idx="23">
                  <c:v>9.4696969696969613E-3</c:v>
                </c:pt>
                <c:pt idx="24">
                  <c:v>8.9126559714794995E-3</c:v>
                </c:pt>
                <c:pt idx="25">
                  <c:v>8.4033613445378408E-3</c:v>
                </c:pt>
                <c:pt idx="26">
                  <c:v>7.9365079365079083E-3</c:v>
                </c:pt>
                <c:pt idx="27">
                  <c:v>7.5075075075075604E-3</c:v>
                </c:pt>
                <c:pt idx="28">
                  <c:v>7.1123755334281391E-3</c:v>
                </c:pt>
                <c:pt idx="29">
                  <c:v>6.7476383265856477E-3</c:v>
                </c:pt>
                <c:pt idx="30">
                  <c:v>6.410256410256443E-3</c:v>
                </c:pt>
                <c:pt idx="31">
                  <c:v>6.0975609756097338E-3</c:v>
                </c:pt>
                <c:pt idx="32">
                  <c:v>5.8072009291521842E-3</c:v>
                </c:pt>
                <c:pt idx="33">
                  <c:v>5.5370985603543643E-3</c:v>
                </c:pt>
                <c:pt idx="34">
                  <c:v>5.2854122621564525E-3</c:v>
                </c:pt>
                <c:pt idx="35">
                  <c:v>5.0505050505050553E-3</c:v>
                </c:pt>
                <c:pt idx="36">
                  <c:v>4.8309178743961012E-3</c:v>
                </c:pt>
                <c:pt idx="37">
                  <c:v>4.6253469010175963E-3</c:v>
                </c:pt>
                <c:pt idx="38">
                  <c:v>4.4326241134751698E-3</c:v>
                </c:pt>
                <c:pt idx="39">
                  <c:v>4.2517006802721413E-3</c:v>
                </c:pt>
                <c:pt idx="40">
                  <c:v>4.0816326530611902E-3</c:v>
                </c:pt>
                <c:pt idx="41">
                  <c:v>3.9215686274509665E-3</c:v>
                </c:pt>
                <c:pt idx="42">
                  <c:v>3.770739064856754E-3</c:v>
                </c:pt>
                <c:pt idx="43">
                  <c:v>3.6284470246734091E-3</c:v>
                </c:pt>
                <c:pt idx="44">
                  <c:v>3.4940600978337066E-3</c:v>
                </c:pt>
                <c:pt idx="45">
                  <c:v>3.3670033670030464E-3</c:v>
                </c:pt>
                <c:pt idx="46">
                  <c:v>3.2467532467532478E-3</c:v>
                </c:pt>
                <c:pt idx="47">
                  <c:v>3.1328320802008203E-3</c:v>
                </c:pt>
                <c:pt idx="48">
                  <c:v>3.0248033877794955E-3</c:v>
                </c:pt>
                <c:pt idx="49">
                  <c:v>2.9222676797194536E-3</c:v>
                </c:pt>
                <c:pt idx="50">
                  <c:v>2.8248587570621764E-3</c:v>
                </c:pt>
                <c:pt idx="51">
                  <c:v>2.732240437158473E-3</c:v>
                </c:pt>
                <c:pt idx="52">
                  <c:v>2.6441036488630554E-3</c:v>
                </c:pt>
                <c:pt idx="53">
                  <c:v>2.5601638504864355E-3</c:v>
                </c:pt>
                <c:pt idx="54">
                  <c:v>2.4801587301587213E-3</c:v>
                </c:pt>
                <c:pt idx="55">
                  <c:v>2.4038461538461731E-3</c:v>
                </c:pt>
                <c:pt idx="56">
                  <c:v>2.3310023310023353E-3</c:v>
                </c:pt>
                <c:pt idx="57">
                  <c:v>2.2614201718679505E-3</c:v>
                </c:pt>
                <c:pt idx="58">
                  <c:v>2.1949078138717992E-3</c:v>
                </c:pt>
                <c:pt idx="59">
                  <c:v>2.1312872975277064E-3</c:v>
                </c:pt>
                <c:pt idx="60">
                  <c:v>2.0703933747412417E-3</c:v>
                </c:pt>
                <c:pt idx="61">
                  <c:v>2.0120724346076313E-3</c:v>
                </c:pt>
                <c:pt idx="62">
                  <c:v>1.9561815336463506E-3</c:v>
                </c:pt>
                <c:pt idx="63">
                  <c:v>1.9025875190258612E-3</c:v>
                </c:pt>
                <c:pt idx="64">
                  <c:v>1.8511662347278635E-3</c:v>
                </c:pt>
                <c:pt idx="65">
                  <c:v>1.8018018018018389E-3</c:v>
                </c:pt>
                <c:pt idx="66">
                  <c:v>1.7543859649122584E-3</c:v>
                </c:pt>
                <c:pt idx="67">
                  <c:v>1.7088174982912152E-3</c:v>
                </c:pt>
                <c:pt idx="68">
                  <c:v>1.6650016650016641E-3</c:v>
                </c:pt>
                <c:pt idx="69">
                  <c:v>1.6228497241155271E-3</c:v>
                </c:pt>
                <c:pt idx="70">
                  <c:v>1.5822784810126667E-3</c:v>
                </c:pt>
                <c:pt idx="71">
                  <c:v>1.5432098765432306E-3</c:v>
                </c:pt>
                <c:pt idx="72">
                  <c:v>1.5055706112616779E-3</c:v>
                </c:pt>
                <c:pt idx="73">
                  <c:v>1.4692918013517464E-3</c:v>
                </c:pt>
                <c:pt idx="74">
                  <c:v>1.4343086632243179E-3</c:v>
                </c:pt>
                <c:pt idx="75">
                  <c:v>1.4005602240896309E-3</c:v>
                </c:pt>
                <c:pt idx="76">
                  <c:v>1.367989056087579E-3</c:v>
                </c:pt>
                <c:pt idx="77">
                  <c:v>1.3365410318096765E-3</c:v>
                </c:pt>
                <c:pt idx="78">
                  <c:v>1.3061650992685359E-3</c:v>
                </c:pt>
                <c:pt idx="79">
                  <c:v>1.2768130745658829E-3</c:v>
                </c:pt>
                <c:pt idx="80">
                  <c:v>1.2484394506866447E-3</c:v>
                </c:pt>
                <c:pt idx="81">
                  <c:v>1.2210012210012444E-3</c:v>
                </c:pt>
                <c:pt idx="82">
                  <c:v>1.1944577161968478E-3</c:v>
                </c:pt>
                <c:pt idx="83">
                  <c:v>1.1687704534829313E-3</c:v>
                </c:pt>
                <c:pt idx="84">
                  <c:v>1.143902997025853E-3</c:v>
                </c:pt>
                <c:pt idx="85">
                  <c:v>1.1198208286674061E-3</c:v>
                </c:pt>
                <c:pt idx="86">
                  <c:v>1.0964912280701927E-3</c:v>
                </c:pt>
                <c:pt idx="87">
                  <c:v>1.0738831615120237E-3</c:v>
                </c:pt>
                <c:pt idx="88">
                  <c:v>1.0519671786240331E-3</c:v>
                </c:pt>
                <c:pt idx="89">
                  <c:v>1.0307153164295924E-3</c:v>
                </c:pt>
                <c:pt idx="90">
                  <c:v>1.0101010101010166E-3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4A-4FFD-B057-BB6C49B51B24}"/>
            </c:ext>
          </c:extLst>
        </c:ser>
        <c:ser>
          <c:idx val="2"/>
          <c:order val="2"/>
          <c:tx>
            <c:v>Pag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Sheet1!$R$50:$R$140</c:f>
              <c:numCache>
                <c:formatCode>_(* #,##0.00000000_);_(* \(#,##0.00000000\);_(* "-"??_);_(@_)</c:formatCode>
                <c:ptCount val="91"/>
                <c:pt idx="0" formatCode="_(* #,##0.0000_);_(* \(#,##0.0000\);_(* &quot;-&quot;??_);_(@_)">
                  <c:v>0</c:v>
                </c:pt>
                <c:pt idx="1">
                  <c:v>0.90909090909090851</c:v>
                </c:pt>
                <c:pt idx="2">
                  <c:v>0.75757575757575613</c:v>
                </c:pt>
                <c:pt idx="3">
                  <c:v>0.64102564102564141</c:v>
                </c:pt>
                <c:pt idx="4">
                  <c:v>0.54945054945054805</c:v>
                </c:pt>
                <c:pt idx="5">
                  <c:v>0.47619047619047622</c:v>
                </c:pt>
                <c:pt idx="6">
                  <c:v>0.41666666666666585</c:v>
                </c:pt>
                <c:pt idx="7">
                  <c:v>0.36764705882352883</c:v>
                </c:pt>
                <c:pt idx="8">
                  <c:v>0.32679738562091465</c:v>
                </c:pt>
                <c:pt idx="9">
                  <c:v>0.29239766081871371</c:v>
                </c:pt>
                <c:pt idx="10">
                  <c:v>0.26315789473684154</c:v>
                </c:pt>
                <c:pt idx="11">
                  <c:v>0.23809523809523811</c:v>
                </c:pt>
                <c:pt idx="12">
                  <c:v>0.21645021645021612</c:v>
                </c:pt>
                <c:pt idx="13">
                  <c:v>0.19762845849802294</c:v>
                </c:pt>
                <c:pt idx="14">
                  <c:v>0.18115942028985513</c:v>
                </c:pt>
                <c:pt idx="15">
                  <c:v>0.16666666666666646</c:v>
                </c:pt>
                <c:pt idx="16">
                  <c:v>0.15384615384615424</c:v>
                </c:pt>
                <c:pt idx="17">
                  <c:v>0.14245014245014218</c:v>
                </c:pt>
                <c:pt idx="18">
                  <c:v>0.13227513227513185</c:v>
                </c:pt>
                <c:pt idx="19">
                  <c:v>0.12315270935960564</c:v>
                </c:pt>
                <c:pt idx="20">
                  <c:v>0.11494252873563247</c:v>
                </c:pt>
                <c:pt idx="21">
                  <c:v>0.1075268817204299</c:v>
                </c:pt>
                <c:pt idx="22">
                  <c:v>0.10080645161290304</c:v>
                </c:pt>
                <c:pt idx="23">
                  <c:v>9.4696969696969516E-2</c:v>
                </c:pt>
                <c:pt idx="24">
                  <c:v>8.9126559714794898E-2</c:v>
                </c:pt>
                <c:pt idx="25">
                  <c:v>8.4033613445378325E-2</c:v>
                </c:pt>
                <c:pt idx="26">
                  <c:v>7.9365079365079E-2</c:v>
                </c:pt>
                <c:pt idx="27">
                  <c:v>7.507507507507552E-2</c:v>
                </c:pt>
                <c:pt idx="28">
                  <c:v>7.1123755334281322E-2</c:v>
                </c:pt>
                <c:pt idx="29">
                  <c:v>6.7476383265856407E-2</c:v>
                </c:pt>
                <c:pt idx="30">
                  <c:v>6.4102564102564361E-2</c:v>
                </c:pt>
                <c:pt idx="31">
                  <c:v>6.0975609756097275E-2</c:v>
                </c:pt>
                <c:pt idx="32">
                  <c:v>5.807200929152178E-2</c:v>
                </c:pt>
                <c:pt idx="33">
                  <c:v>5.5370985603543588E-2</c:v>
                </c:pt>
                <c:pt idx="34">
                  <c:v>5.285412262156447E-2</c:v>
                </c:pt>
                <c:pt idx="35">
                  <c:v>5.0505050505050504E-2</c:v>
                </c:pt>
                <c:pt idx="36">
                  <c:v>4.8309178743960964E-2</c:v>
                </c:pt>
                <c:pt idx="37">
                  <c:v>4.6253469010175914E-2</c:v>
                </c:pt>
                <c:pt idx="38">
                  <c:v>4.432624113475165E-2</c:v>
                </c:pt>
                <c:pt idx="39">
                  <c:v>4.2517006802721372E-2</c:v>
                </c:pt>
                <c:pt idx="40">
                  <c:v>4.081632653061186E-2</c:v>
                </c:pt>
                <c:pt idx="41">
                  <c:v>3.9215686274509623E-2</c:v>
                </c:pt>
                <c:pt idx="42">
                  <c:v>3.7707390648567499E-2</c:v>
                </c:pt>
                <c:pt idx="43">
                  <c:v>3.6284470246734056E-2</c:v>
                </c:pt>
                <c:pt idx="44">
                  <c:v>3.4940600978337032E-2</c:v>
                </c:pt>
                <c:pt idx="45">
                  <c:v>3.3670033670030429E-2</c:v>
                </c:pt>
                <c:pt idx="46">
                  <c:v>3.2467532467532444E-2</c:v>
                </c:pt>
                <c:pt idx="47">
                  <c:v>3.1328320802008168E-2</c:v>
                </c:pt>
                <c:pt idx="48">
                  <c:v>3.0248033877794924E-2</c:v>
                </c:pt>
                <c:pt idx="49">
                  <c:v>2.9222676797194504E-2</c:v>
                </c:pt>
                <c:pt idx="50">
                  <c:v>2.8248587570621736E-2</c:v>
                </c:pt>
                <c:pt idx="51">
                  <c:v>2.7322404371584702E-2</c:v>
                </c:pt>
                <c:pt idx="52">
                  <c:v>2.6441036488630526E-2</c:v>
                </c:pt>
                <c:pt idx="53">
                  <c:v>2.5601638504864327E-2</c:v>
                </c:pt>
                <c:pt idx="54">
                  <c:v>2.4801587301587189E-2</c:v>
                </c:pt>
                <c:pt idx="55">
                  <c:v>2.4038461538461706E-2</c:v>
                </c:pt>
                <c:pt idx="56">
                  <c:v>2.3310023310023329E-2</c:v>
                </c:pt>
                <c:pt idx="57">
                  <c:v>2.2614201718679481E-2</c:v>
                </c:pt>
                <c:pt idx="58">
                  <c:v>2.1949078138717971E-2</c:v>
                </c:pt>
                <c:pt idx="59">
                  <c:v>2.1312872975277043E-2</c:v>
                </c:pt>
                <c:pt idx="60">
                  <c:v>2.0703933747412397E-2</c:v>
                </c:pt>
                <c:pt idx="61">
                  <c:v>2.0120724346076292E-2</c:v>
                </c:pt>
                <c:pt idx="62">
                  <c:v>1.9561815336463485E-2</c:v>
                </c:pt>
                <c:pt idx="63">
                  <c:v>1.9025875190258591E-2</c:v>
                </c:pt>
                <c:pt idx="64">
                  <c:v>1.8511662347278617E-2</c:v>
                </c:pt>
                <c:pt idx="65">
                  <c:v>1.8018018018018372E-2</c:v>
                </c:pt>
                <c:pt idx="66">
                  <c:v>1.7543859649122567E-2</c:v>
                </c:pt>
                <c:pt idx="67">
                  <c:v>1.7088174982912135E-2</c:v>
                </c:pt>
                <c:pt idx="68">
                  <c:v>1.6650016650016624E-2</c:v>
                </c:pt>
                <c:pt idx="69">
                  <c:v>1.6228497241155253E-2</c:v>
                </c:pt>
                <c:pt idx="70">
                  <c:v>1.5822784810126649E-2</c:v>
                </c:pt>
                <c:pt idx="71">
                  <c:v>1.543209876543229E-2</c:v>
                </c:pt>
                <c:pt idx="72">
                  <c:v>1.5055706112616763E-2</c:v>
                </c:pt>
                <c:pt idx="73">
                  <c:v>1.4692918013517449E-2</c:v>
                </c:pt>
                <c:pt idx="74">
                  <c:v>1.4343086632243165E-2</c:v>
                </c:pt>
                <c:pt idx="75">
                  <c:v>1.4005602240896295E-2</c:v>
                </c:pt>
                <c:pt idx="76">
                  <c:v>1.3679890560875776E-2</c:v>
                </c:pt>
                <c:pt idx="77">
                  <c:v>1.3365410318096752E-2</c:v>
                </c:pt>
                <c:pt idx="78">
                  <c:v>1.3061650992685345E-2</c:v>
                </c:pt>
                <c:pt idx="79">
                  <c:v>1.2768130745658815E-2</c:v>
                </c:pt>
                <c:pt idx="80">
                  <c:v>1.2484394506866435E-2</c:v>
                </c:pt>
                <c:pt idx="81">
                  <c:v>1.2210012210012432E-2</c:v>
                </c:pt>
                <c:pt idx="82">
                  <c:v>1.1944577161968466E-2</c:v>
                </c:pt>
                <c:pt idx="83">
                  <c:v>1.1687704534829301E-2</c:v>
                </c:pt>
                <c:pt idx="84">
                  <c:v>1.1439029970258517E-2</c:v>
                </c:pt>
                <c:pt idx="85">
                  <c:v>1.1198208286674049E-2</c:v>
                </c:pt>
                <c:pt idx="86">
                  <c:v>1.0964912280701917E-2</c:v>
                </c:pt>
                <c:pt idx="87">
                  <c:v>1.0738831615120226E-2</c:v>
                </c:pt>
                <c:pt idx="88">
                  <c:v>1.0519671786240321E-2</c:v>
                </c:pt>
                <c:pt idx="89">
                  <c:v>1.0307153164295913E-2</c:v>
                </c:pt>
                <c:pt idx="90">
                  <c:v>1.0101010101010156E-2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94A-4FFD-B057-BB6C49B51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955935"/>
        <c:axId val="546232431"/>
      </c:lineChart>
      <c:catAx>
        <c:axId val="27695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46232431"/>
        <c:crosses val="autoZero"/>
        <c:auto val="1"/>
        <c:lblAlgn val="ctr"/>
        <c:lblOffset val="100"/>
        <c:noMultiLvlLbl val="0"/>
      </c:catAx>
      <c:valAx>
        <c:axId val="5462324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7695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500062</xdr:colOff>
      <xdr:row>13</xdr:row>
      <xdr:rowOff>109537</xdr:rowOff>
    </xdr:from>
    <xdr:to>
      <xdr:col>28</xdr:col>
      <xdr:colOff>195262</xdr:colOff>
      <xdr:row>27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095894-547A-0393-DEAE-35BFF2AB9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509587</xdr:colOff>
      <xdr:row>0</xdr:row>
      <xdr:rowOff>80962</xdr:rowOff>
    </xdr:from>
    <xdr:to>
      <xdr:col>23</xdr:col>
      <xdr:colOff>204787</xdr:colOff>
      <xdr:row>14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81F0C3-FFDD-08FA-5D70-1C8B32258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295275</xdr:colOff>
      <xdr:row>52</xdr:row>
      <xdr:rowOff>14287</xdr:rowOff>
    </xdr:from>
    <xdr:to>
      <xdr:col>26</xdr:col>
      <xdr:colOff>600075</xdr:colOff>
      <xdr:row>66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8B103-E8C3-F192-4882-DF25EE3465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3"/>
  <sheetViews>
    <sheetView tabSelected="1" workbookViewId="0">
      <selection activeCell="I9" sqref="I9"/>
    </sheetView>
  </sheetViews>
  <sheetFormatPr defaultColWidth="9.109375" defaultRowHeight="14.4" x14ac:dyDescent="0.3"/>
  <cols>
    <col min="1" max="1" width="10" style="1" bestFit="1" customWidth="1"/>
    <col min="2" max="2" width="9.33203125" style="1" bestFit="1" customWidth="1"/>
    <col min="3" max="3" width="9.33203125" style="1" customWidth="1"/>
    <col min="4" max="4" width="9.109375" style="1" bestFit="1" customWidth="1"/>
    <col min="5" max="5" width="9.109375" style="1" customWidth="1"/>
    <col min="6" max="8" width="9.33203125" style="1" bestFit="1" customWidth="1"/>
    <col min="9" max="9" width="9.109375" style="1"/>
    <col min="10" max="10" width="9.109375" style="9"/>
    <col min="11" max="11" width="11.5546875" style="9" bestFit="1" customWidth="1"/>
    <col min="12" max="12" width="9.109375" style="1"/>
    <col min="13" max="13" width="31.33203125" style="1" bestFit="1" customWidth="1"/>
    <col min="14" max="17" width="9.109375" style="1"/>
    <col min="18" max="18" width="13.5546875" style="1" customWidth="1"/>
    <col min="19" max="16384" width="9.109375" style="1"/>
  </cols>
  <sheetData>
    <row r="1" spans="1:11" x14ac:dyDescent="0.3">
      <c r="B1" s="2" t="s">
        <v>0</v>
      </c>
      <c r="C1" s="2"/>
      <c r="D1" s="2" t="s">
        <v>1</v>
      </c>
      <c r="E1" s="2"/>
      <c r="F1" s="2" t="s">
        <v>2</v>
      </c>
      <c r="G1" s="2" t="s">
        <v>3</v>
      </c>
    </row>
    <row r="2" spans="1:11" x14ac:dyDescent="0.3">
      <c r="A2" s="2">
        <v>0</v>
      </c>
      <c r="B2" s="1">
        <v>1.329806917990155</v>
      </c>
      <c r="C2" s="1">
        <f t="shared" ref="C2:C65" si="0">C3*B2</f>
        <v>2.0329907640786513</v>
      </c>
      <c r="D2" s="1">
        <v>1.329806917990155</v>
      </c>
      <c r="E2" s="1">
        <f t="shared" ref="E2:E15" si="1">D2*E3</f>
        <v>1.7875274027545451</v>
      </c>
      <c r="F2" s="1">
        <v>1.380110322465729</v>
      </c>
      <c r="G2" s="1">
        <v>1.380110322465729</v>
      </c>
      <c r="H2" s="1">
        <f t="shared" ref="H2:H33" si="2">B2-G2</f>
        <v>-5.030340447557391E-2</v>
      </c>
      <c r="J2" s="9">
        <f t="shared" ref="J2:J33" si="3">D2-F2</f>
        <v>-5.030340447557391E-2</v>
      </c>
      <c r="K2" s="9">
        <v>2024</v>
      </c>
    </row>
    <row r="3" spans="1:11" x14ac:dyDescent="0.3">
      <c r="A3" s="2">
        <v>1</v>
      </c>
      <c r="B3" s="1">
        <v>1.1139698351358469</v>
      </c>
      <c r="C3" s="1">
        <f t="shared" si="0"/>
        <v>1.5287864249881291</v>
      </c>
      <c r="D3" s="1">
        <v>1.1139698351358469</v>
      </c>
      <c r="E3" s="1">
        <f t="shared" si="1"/>
        <v>1.3442007095708151</v>
      </c>
      <c r="F3" s="1">
        <v>1.09696149636919</v>
      </c>
      <c r="G3" s="1">
        <v>1.09696149636919</v>
      </c>
      <c r="H3" s="1">
        <f t="shared" si="2"/>
        <v>1.7008338766656861E-2</v>
      </c>
      <c r="J3" s="9">
        <f t="shared" si="3"/>
        <v>1.7008338766656861E-2</v>
      </c>
      <c r="K3" s="9">
        <f t="shared" ref="K3:K34" si="4">$K$2+A3</f>
        <v>2025</v>
      </c>
    </row>
    <row r="4" spans="1:11" x14ac:dyDescent="0.3">
      <c r="A4" s="2">
        <v>2</v>
      </c>
      <c r="B4" s="1">
        <v>1.0698956424052439</v>
      </c>
      <c r="C4" s="1">
        <f t="shared" si="0"/>
        <v>1.3723768604575328</v>
      </c>
      <c r="D4" s="1">
        <v>1.0698956424052439</v>
      </c>
      <c r="E4" s="1">
        <f t="shared" si="1"/>
        <v>1.2066760402061443</v>
      </c>
      <c r="F4" s="1">
        <v>1.082847908318249</v>
      </c>
      <c r="G4" s="1">
        <v>1.082847908318249</v>
      </c>
      <c r="H4" s="1">
        <f t="shared" si="2"/>
        <v>-1.2952265913005023E-2</v>
      </c>
      <c r="J4" s="9">
        <f t="shared" si="3"/>
        <v>-1.2952265913005023E-2</v>
      </c>
      <c r="K4" s="9">
        <f t="shared" si="4"/>
        <v>2026</v>
      </c>
    </row>
    <row r="5" spans="1:11" x14ac:dyDescent="0.3">
      <c r="A5" s="2">
        <v>3</v>
      </c>
      <c r="B5" s="1">
        <v>1.0466480914545031</v>
      </c>
      <c r="C5" s="1">
        <f t="shared" si="0"/>
        <v>1.2827203009933545</v>
      </c>
      <c r="D5" s="1">
        <v>1.0466480914545031</v>
      </c>
      <c r="E5" s="1">
        <f t="shared" si="1"/>
        <v>1.127844616222011</v>
      </c>
      <c r="F5" s="1">
        <v>1.054359747181014</v>
      </c>
      <c r="G5" s="1">
        <v>1.054359747181014</v>
      </c>
      <c r="H5" s="1">
        <f t="shared" si="2"/>
        <v>-7.7116557265108909E-3</v>
      </c>
      <c r="J5" s="9">
        <f t="shared" si="3"/>
        <v>-7.7116557265108909E-3</v>
      </c>
      <c r="K5" s="9">
        <f t="shared" si="4"/>
        <v>2027</v>
      </c>
    </row>
    <row r="6" spans="1:11" x14ac:dyDescent="0.3">
      <c r="A6" s="2">
        <v>4</v>
      </c>
      <c r="B6" s="1">
        <v>1.035105730393119</v>
      </c>
      <c r="C6" s="1">
        <f t="shared" si="0"/>
        <v>1.2255506998639698</v>
      </c>
      <c r="D6" s="1">
        <v>1.035105730393119</v>
      </c>
      <c r="E6" s="1">
        <f t="shared" si="1"/>
        <v>1.0775776743209564</v>
      </c>
      <c r="F6" s="1">
        <v>1.043336215279298</v>
      </c>
      <c r="G6" s="1">
        <v>1.043336215279298</v>
      </c>
      <c r="H6" s="1">
        <f t="shared" si="2"/>
        <v>-8.2304848861789459E-3</v>
      </c>
      <c r="J6" s="9">
        <f t="shared" si="3"/>
        <v>-8.2304848861789459E-3</v>
      </c>
      <c r="K6" s="9">
        <f t="shared" si="4"/>
        <v>2028</v>
      </c>
    </row>
    <row r="7" spans="1:11" s="8" customFormat="1" x14ac:dyDescent="0.3">
      <c r="A7" s="3">
        <v>5</v>
      </c>
      <c r="B7" s="4">
        <v>1.0266074077763001</v>
      </c>
      <c r="C7" s="1">
        <f t="shared" si="0"/>
        <v>1.1839860063363019</v>
      </c>
      <c r="D7" s="4">
        <v>1.016851030869818</v>
      </c>
      <c r="E7" s="1">
        <f t="shared" si="1"/>
        <v>1.0410315030443384</v>
      </c>
      <c r="F7" s="8">
        <v>1.036636238199478</v>
      </c>
      <c r="G7" s="8">
        <v>1.036636238199478</v>
      </c>
      <c r="H7" s="8">
        <f t="shared" si="2"/>
        <v>-1.0028830423177926E-2</v>
      </c>
      <c r="J7" s="10">
        <f t="shared" si="3"/>
        <v>-1.9785207329660048E-2</v>
      </c>
      <c r="K7" s="10">
        <f t="shared" si="4"/>
        <v>2029</v>
      </c>
    </row>
    <row r="8" spans="1:11" x14ac:dyDescent="0.3">
      <c r="A8" s="2">
        <v>6</v>
      </c>
      <c r="B8" s="1">
        <v>1.021492827384354</v>
      </c>
      <c r="C8" s="1">
        <f t="shared" si="0"/>
        <v>1.1532996911651887</v>
      </c>
      <c r="D8" s="1">
        <v>1.0098458795971419</v>
      </c>
      <c r="E8" s="1">
        <f t="shared" si="1"/>
        <v>1.0237797587261492</v>
      </c>
      <c r="F8" s="1">
        <v>1.0284803612393101</v>
      </c>
      <c r="G8" s="1">
        <v>1.0284803612393101</v>
      </c>
      <c r="H8" s="1">
        <f t="shared" si="2"/>
        <v>-6.9875338549560961E-3</v>
      </c>
      <c r="I8" s="1">
        <f>PRODUCT(B8:B32)</f>
        <v>1.1995433273942495</v>
      </c>
      <c r="J8" s="9">
        <f t="shared" si="3"/>
        <v>-1.8634481642168188E-2</v>
      </c>
      <c r="K8" s="9">
        <f t="shared" si="4"/>
        <v>2030</v>
      </c>
    </row>
    <row r="9" spans="1:11" x14ac:dyDescent="0.3">
      <c r="A9" s="2">
        <v>7</v>
      </c>
      <c r="B9" s="1">
        <v>1.017864273095592</v>
      </c>
      <c r="C9" s="1">
        <f t="shared" si="0"/>
        <v>1.1290335675859231</v>
      </c>
      <c r="D9" s="1">
        <v>1.0057528435969481</v>
      </c>
      <c r="E9" s="1">
        <f t="shared" si="1"/>
        <v>1.0137980254319263</v>
      </c>
      <c r="F9" s="1">
        <v>1.023906177757814</v>
      </c>
      <c r="G9" s="1">
        <v>1.023906177757814</v>
      </c>
      <c r="H9" s="1">
        <f t="shared" si="2"/>
        <v>-6.0419046622219863E-3</v>
      </c>
      <c r="I9" s="1">
        <f>PRODUCT(B8:B22)</f>
        <v>1.1587135929129053</v>
      </c>
      <c r="J9" s="9">
        <f t="shared" si="3"/>
        <v>-1.8153334160865953E-2</v>
      </c>
      <c r="K9" s="9">
        <f t="shared" si="4"/>
        <v>2031</v>
      </c>
    </row>
    <row r="10" spans="1:11" x14ac:dyDescent="0.3">
      <c r="A10" s="2">
        <v>8</v>
      </c>
      <c r="B10" s="1">
        <v>1.015175691707815</v>
      </c>
      <c r="C10" s="1">
        <f t="shared" si="0"/>
        <v>1.1092181909010679</v>
      </c>
      <c r="D10" s="1">
        <v>1.003361325834266</v>
      </c>
      <c r="E10" s="1">
        <f t="shared" si="1"/>
        <v>1.0079991638961772</v>
      </c>
      <c r="F10" s="1">
        <v>1.0170646964485059</v>
      </c>
      <c r="G10" s="1">
        <v>1.0170646964485059</v>
      </c>
      <c r="H10" s="1">
        <f t="shared" si="2"/>
        <v>-1.8890047406909805E-3</v>
      </c>
      <c r="J10" s="9">
        <f t="shared" si="3"/>
        <v>-1.3703370614239985E-2</v>
      </c>
      <c r="K10" s="9">
        <f t="shared" si="4"/>
        <v>2032</v>
      </c>
    </row>
    <row r="11" spans="1:11" x14ac:dyDescent="0.3">
      <c r="A11" s="2">
        <v>9</v>
      </c>
      <c r="B11" s="1">
        <v>1.013115437138334</v>
      </c>
      <c r="C11" s="1">
        <f t="shared" si="0"/>
        <v>1.0926366735939537</v>
      </c>
      <c r="D11" s="1">
        <v>1.001963987230611</v>
      </c>
      <c r="E11" s="1">
        <f t="shared" si="1"/>
        <v>1.0046223010021389</v>
      </c>
      <c r="F11" s="1">
        <v>1.021844462745455</v>
      </c>
      <c r="G11" s="1">
        <v>1.021844462745455</v>
      </c>
      <c r="H11" s="1">
        <f t="shared" si="2"/>
        <v>-8.729025607121077E-3</v>
      </c>
      <c r="J11" s="9">
        <f t="shared" si="3"/>
        <v>-1.9880475514844065E-2</v>
      </c>
      <c r="K11" s="9">
        <f t="shared" si="4"/>
        <v>2033</v>
      </c>
    </row>
    <row r="12" spans="1:11" x14ac:dyDescent="0.3">
      <c r="A12" s="2">
        <v>10</v>
      </c>
      <c r="B12" s="1">
        <v>1.0114937434581339</v>
      </c>
      <c r="C12" s="1">
        <f t="shared" si="0"/>
        <v>1.0784917824174478</v>
      </c>
      <c r="D12" s="1">
        <v>1.0011475370232421</v>
      </c>
      <c r="E12" s="1">
        <f t="shared" si="1"/>
        <v>1.0026531031108967</v>
      </c>
      <c r="F12" s="1">
        <v>1.0154186420174149</v>
      </c>
      <c r="G12" s="1">
        <v>1.0154186420174149</v>
      </c>
      <c r="H12" s="1">
        <f t="shared" si="2"/>
        <v>-3.9248985592810204E-3</v>
      </c>
      <c r="J12" s="9">
        <f t="shared" si="3"/>
        <v>-1.4271104994172834E-2</v>
      </c>
      <c r="K12" s="9">
        <f t="shared" si="4"/>
        <v>2034</v>
      </c>
    </row>
    <row r="13" spans="1:11" x14ac:dyDescent="0.3">
      <c r="A13" s="2">
        <v>11</v>
      </c>
      <c r="B13" s="1">
        <v>1.01018899335712</v>
      </c>
      <c r="C13" s="1">
        <f t="shared" si="0"/>
        <v>1.0662367309660843</v>
      </c>
      <c r="D13" s="1">
        <v>1.000670493778772</v>
      </c>
      <c r="E13" s="1">
        <f t="shared" si="1"/>
        <v>1.0015038403751471</v>
      </c>
      <c r="F13" s="1">
        <v>1.0065586537310489</v>
      </c>
      <c r="G13" s="1">
        <v>1.0065586537310489</v>
      </c>
      <c r="H13" s="1">
        <f t="shared" si="2"/>
        <v>3.6303396260710663E-3</v>
      </c>
      <c r="J13" s="9">
        <f t="shared" si="3"/>
        <v>-5.8881599522768724E-3</v>
      </c>
      <c r="K13" s="9">
        <f t="shared" si="4"/>
        <v>2035</v>
      </c>
    </row>
    <row r="14" spans="1:11" s="4" customFormat="1" x14ac:dyDescent="0.3">
      <c r="A14" s="3">
        <v>12</v>
      </c>
      <c r="B14" s="4">
        <v>1.009119943397671</v>
      </c>
      <c r="C14" s="1">
        <f t="shared" si="0"/>
        <v>1.0554824275234906</v>
      </c>
      <c r="D14" s="4">
        <v>1.0003917624427501</v>
      </c>
      <c r="E14" s="1">
        <f t="shared" si="1"/>
        <v>1.0008327882170565</v>
      </c>
      <c r="F14" s="4">
        <v>1.009505709548878</v>
      </c>
      <c r="G14" s="4">
        <v>1.009505709548878</v>
      </c>
      <c r="H14" s="4">
        <f t="shared" si="2"/>
        <v>-3.8576615120700097E-4</v>
      </c>
      <c r="J14" s="11">
        <f t="shared" si="3"/>
        <v>-9.1139471061278954E-3</v>
      </c>
      <c r="K14" s="9">
        <f t="shared" si="4"/>
        <v>2036</v>
      </c>
    </row>
    <row r="15" spans="1:11" x14ac:dyDescent="0.3">
      <c r="A15" s="2">
        <v>13</v>
      </c>
      <c r="B15" s="1">
        <v>1.0082304250487699</v>
      </c>
      <c r="C15" s="1">
        <f t="shared" si="0"/>
        <v>1.0459434821689471</v>
      </c>
      <c r="D15" s="1">
        <v>1.0002289026630951</v>
      </c>
      <c r="E15" s="1">
        <f t="shared" si="1"/>
        <v>1.0004408530646329</v>
      </c>
      <c r="F15" s="1">
        <v>1.0057418287902069</v>
      </c>
      <c r="G15" s="1">
        <v>1.0057418287902069</v>
      </c>
      <c r="H15" s="1">
        <f t="shared" si="2"/>
        <v>2.4885962585630139E-3</v>
      </c>
      <c r="J15" s="9">
        <f t="shared" si="3"/>
        <v>-5.5129261271118501E-3</v>
      </c>
      <c r="K15" s="9">
        <f t="shared" si="4"/>
        <v>2037</v>
      </c>
    </row>
    <row r="16" spans="1:11" x14ac:dyDescent="0.3">
      <c r="A16" s="2">
        <v>14</v>
      </c>
      <c r="B16" s="1">
        <v>1.007480466804507</v>
      </c>
      <c r="C16" s="1">
        <f t="shared" si="0"/>
        <v>1.0374051964543254</v>
      </c>
      <c r="D16" s="1">
        <v>1.000133745411643</v>
      </c>
      <c r="E16" s="1">
        <f>D16*E17</f>
        <v>1.0002119018966293</v>
      </c>
      <c r="F16" s="1">
        <v>1.007259658482393</v>
      </c>
      <c r="G16" s="1">
        <v>1.007259658482393</v>
      </c>
      <c r="H16" s="1">
        <f t="shared" si="2"/>
        <v>2.2080832211401891E-4</v>
      </c>
      <c r="J16" s="9">
        <f t="shared" si="3"/>
        <v>-7.1259130707499452E-3</v>
      </c>
      <c r="K16" s="9">
        <f t="shared" si="4"/>
        <v>2038</v>
      </c>
    </row>
    <row r="17" spans="1:13" x14ac:dyDescent="0.3">
      <c r="A17" s="2">
        <v>15</v>
      </c>
      <c r="B17" s="1">
        <v>1.006840912930379</v>
      </c>
      <c r="C17" s="1">
        <f t="shared" si="0"/>
        <v>1.0297025407795077</v>
      </c>
      <c r="D17" s="1">
        <v>1.000078146033313</v>
      </c>
      <c r="E17" s="1">
        <f>D17</f>
        <v>1.000078146033313</v>
      </c>
      <c r="F17" s="1">
        <v>1.0043708277804979</v>
      </c>
      <c r="G17" s="1">
        <v>1.0043708277804979</v>
      </c>
      <c r="H17" s="1">
        <f t="shared" si="2"/>
        <v>2.4700851498811183E-3</v>
      </c>
      <c r="J17" s="9">
        <f t="shared" si="3"/>
        <v>-4.2926817471848899E-3</v>
      </c>
      <c r="K17" s="9">
        <f t="shared" si="4"/>
        <v>2039</v>
      </c>
    </row>
    <row r="18" spans="1:13" x14ac:dyDescent="0.3">
      <c r="A18" s="2">
        <v>16</v>
      </c>
      <c r="B18" s="1">
        <v>1.0062900386742499</v>
      </c>
      <c r="C18" s="1">
        <f t="shared" si="0"/>
        <v>1.0227062960548461</v>
      </c>
      <c r="D18" s="1">
        <v>1.0000456599030021</v>
      </c>
      <c r="E18" s="1">
        <v>1</v>
      </c>
      <c r="F18" s="1">
        <v>1.0039556124597</v>
      </c>
      <c r="G18" s="1">
        <v>1.0039556124597</v>
      </c>
      <c r="H18" s="1">
        <f t="shared" si="2"/>
        <v>2.3344262145499339E-3</v>
      </c>
      <c r="J18" s="9">
        <f t="shared" si="3"/>
        <v>-3.9099525566979043E-3</v>
      </c>
      <c r="K18" s="9">
        <f t="shared" si="4"/>
        <v>2040</v>
      </c>
    </row>
    <row r="19" spans="1:13" s="4" customFormat="1" x14ac:dyDescent="0.3">
      <c r="A19" s="3">
        <v>17</v>
      </c>
      <c r="B19" s="4">
        <v>1.00581135236099</v>
      </c>
      <c r="C19" s="1">
        <f t="shared" si="0"/>
        <v>1.0163136439293625</v>
      </c>
      <c r="D19" s="4">
        <v>1.0000266785997161</v>
      </c>
      <c r="F19" s="4">
        <v>1.002300460529234</v>
      </c>
      <c r="G19" s="4">
        <v>1.002300460529234</v>
      </c>
      <c r="H19" s="4">
        <f t="shared" si="2"/>
        <v>3.5108918317559024E-3</v>
      </c>
      <c r="J19" s="11">
        <f t="shared" si="3"/>
        <v>-2.2737819295179929E-3</v>
      </c>
      <c r="K19" s="9">
        <f t="shared" si="4"/>
        <v>2041</v>
      </c>
    </row>
    <row r="20" spans="1:13" x14ac:dyDescent="0.3">
      <c r="A20" s="2">
        <v>18</v>
      </c>
      <c r="B20" s="1">
        <v>1.005392128103302</v>
      </c>
      <c r="C20" s="1">
        <f t="shared" si="0"/>
        <v>1.0104416116836621</v>
      </c>
      <c r="D20" s="1">
        <v>1.000015588024415</v>
      </c>
      <c r="F20" s="1">
        <v>1.002528624078783</v>
      </c>
      <c r="G20" s="1">
        <v>1.002528624078783</v>
      </c>
      <c r="H20" s="1">
        <f t="shared" si="2"/>
        <v>2.8635040245190702E-3</v>
      </c>
      <c r="J20" s="9">
        <f t="shared" si="3"/>
        <v>-2.5130360543679231E-3</v>
      </c>
      <c r="K20" s="9">
        <f t="shared" si="4"/>
        <v>2042</v>
      </c>
    </row>
    <row r="21" spans="1:13" x14ac:dyDescent="0.3">
      <c r="A21" s="2">
        <v>19</v>
      </c>
      <c r="B21" s="1">
        <v>1.0050224021446099</v>
      </c>
      <c r="C21" s="1">
        <f t="shared" si="0"/>
        <v>1.0050224021446099</v>
      </c>
      <c r="D21" s="1">
        <v>1.000009107918248</v>
      </c>
      <c r="F21" s="1">
        <v>0.9998101954599804</v>
      </c>
      <c r="G21" s="1">
        <v>0.9998101954599804</v>
      </c>
      <c r="H21" s="1">
        <f t="shared" si="2"/>
        <v>5.2122066846295168E-3</v>
      </c>
      <c r="J21" s="9">
        <f t="shared" si="3"/>
        <v>1.9891245826764159E-4</v>
      </c>
      <c r="K21" s="9">
        <f t="shared" si="4"/>
        <v>2043</v>
      </c>
    </row>
    <row r="22" spans="1:13" x14ac:dyDescent="0.3">
      <c r="A22" s="2">
        <v>20</v>
      </c>
      <c r="B22" s="1">
        <v>1.0046942713929341</v>
      </c>
      <c r="C22" s="1">
        <v>1</v>
      </c>
      <c r="D22" s="1">
        <v>1.000005321660564</v>
      </c>
      <c r="F22" s="1">
        <v>1.000337721158876</v>
      </c>
      <c r="G22" s="1">
        <v>1.000337721158876</v>
      </c>
      <c r="H22" s="1">
        <f t="shared" si="2"/>
        <v>4.3565502340581208E-3</v>
      </c>
      <c r="J22" s="9">
        <f t="shared" si="3"/>
        <v>-3.3239949831198601E-4</v>
      </c>
      <c r="K22" s="9">
        <f t="shared" si="4"/>
        <v>2044</v>
      </c>
    </row>
    <row r="23" spans="1:13" s="6" customFormat="1" x14ac:dyDescent="0.3">
      <c r="A23" s="5">
        <v>21</v>
      </c>
      <c r="B23" s="6">
        <v>1.0044013936542771</v>
      </c>
      <c r="C23" s="1">
        <f t="shared" si="0"/>
        <v>1.1236625415695163</v>
      </c>
      <c r="D23" s="6">
        <v>1.000003109390136</v>
      </c>
      <c r="F23" s="4">
        <v>1.0024555881538679</v>
      </c>
      <c r="G23" s="4">
        <v>1.0024555881538679</v>
      </c>
      <c r="H23" s="6">
        <f t="shared" si="2"/>
        <v>1.9458055004091257E-3</v>
      </c>
      <c r="J23" s="12">
        <f t="shared" si="3"/>
        <v>-2.4524787637318912E-3</v>
      </c>
      <c r="K23" s="9">
        <f t="shared" si="4"/>
        <v>2045</v>
      </c>
    </row>
    <row r="24" spans="1:13" s="14" customFormat="1" x14ac:dyDescent="0.3">
      <c r="A24" s="13">
        <v>22</v>
      </c>
      <c r="B24" s="14">
        <v>1.004138625379897</v>
      </c>
      <c r="C24" s="1">
        <f t="shared" si="0"/>
        <v>1.1187385328900588</v>
      </c>
      <c r="D24" s="14">
        <v>1.00000181678386</v>
      </c>
      <c r="F24" s="14">
        <v>1.0024555881538679</v>
      </c>
      <c r="G24" s="14">
        <v>1.0007566410669491</v>
      </c>
      <c r="H24" s="14">
        <f t="shared" si="2"/>
        <v>3.3819843129478944E-3</v>
      </c>
      <c r="J24" s="15">
        <f t="shared" si="3"/>
        <v>-2.4537713700079067E-3</v>
      </c>
      <c r="K24" s="15">
        <f t="shared" si="4"/>
        <v>2046</v>
      </c>
      <c r="L24" s="14" t="s">
        <v>5</v>
      </c>
    </row>
    <row r="25" spans="1:13" x14ac:dyDescent="0.3">
      <c r="A25" s="2">
        <v>23</v>
      </c>
      <c r="B25" s="1">
        <v>1.003901754973813</v>
      </c>
      <c r="C25" s="1">
        <f t="shared" si="0"/>
        <v>1.114127576226644</v>
      </c>
      <c r="D25" s="1">
        <v>1.000001061527646</v>
      </c>
      <c r="F25" s="1">
        <v>1.002267217237762</v>
      </c>
      <c r="G25" s="1">
        <v>1.000586211340579</v>
      </c>
      <c r="H25" s="1">
        <f t="shared" si="2"/>
        <v>3.3155436332339416E-3</v>
      </c>
      <c r="J25" s="9">
        <f t="shared" si="3"/>
        <v>-2.2661557101160135E-3</v>
      </c>
      <c r="K25" s="9">
        <f t="shared" si="4"/>
        <v>2047</v>
      </c>
      <c r="M25" s="1" t="s">
        <v>6</v>
      </c>
    </row>
    <row r="26" spans="1:13" x14ac:dyDescent="0.3">
      <c r="A26" s="2">
        <v>24</v>
      </c>
      <c r="B26" s="1">
        <v>1.003687303662377</v>
      </c>
      <c r="C26" s="1">
        <f t="shared" si="0"/>
        <v>1.1097974186285853</v>
      </c>
      <c r="D26" s="1">
        <v>1.0000006202394069</v>
      </c>
      <c r="F26" s="1">
        <v>1.0021004202221999</v>
      </c>
      <c r="G26" s="1">
        <v>1.000454170082532</v>
      </c>
      <c r="H26" s="1">
        <f t="shared" si="2"/>
        <v>3.2331335798450045E-3</v>
      </c>
      <c r="J26" s="9">
        <f t="shared" si="3"/>
        <v>-2.0997999827929714E-3</v>
      </c>
      <c r="K26" s="9">
        <f t="shared" si="4"/>
        <v>2048</v>
      </c>
    </row>
    <row r="27" spans="1:13" x14ac:dyDescent="0.3">
      <c r="A27" s="2">
        <v>25</v>
      </c>
      <c r="B27" s="1">
        <v>1.0034923748858751</v>
      </c>
      <c r="C27" s="1">
        <f t="shared" si="0"/>
        <v>1.1057202921457916</v>
      </c>
      <c r="D27" s="1">
        <v>1.000000362399343</v>
      </c>
      <c r="F27" s="1">
        <v>1.0019519747715739</v>
      </c>
      <c r="G27" s="1">
        <v>1.000351870476718</v>
      </c>
      <c r="H27" s="1">
        <f t="shared" si="2"/>
        <v>3.14050440915703E-3</v>
      </c>
      <c r="J27" s="9">
        <f t="shared" si="3"/>
        <v>-1.9516123722309597E-3</v>
      </c>
      <c r="K27" s="9">
        <f t="shared" si="4"/>
        <v>2049</v>
      </c>
    </row>
    <row r="28" spans="1:13" x14ac:dyDescent="0.3">
      <c r="A28" s="2">
        <v>26</v>
      </c>
      <c r="B28" s="1">
        <v>1.0033145390403051</v>
      </c>
      <c r="C28" s="1">
        <f t="shared" si="0"/>
        <v>1.1018721415511927</v>
      </c>
      <c r="D28" s="1">
        <v>1.000000211746114</v>
      </c>
      <c r="F28" s="1">
        <v>1.00181924357442</v>
      </c>
      <c r="G28" s="1">
        <v>1.0002726133603861</v>
      </c>
      <c r="H28" s="1">
        <f t="shared" si="2"/>
        <v>3.0419256799190109E-3</v>
      </c>
      <c r="J28" s="9">
        <f t="shared" si="3"/>
        <v>-1.8190318283060058E-3</v>
      </c>
      <c r="K28" s="9">
        <f t="shared" si="4"/>
        <v>2050</v>
      </c>
    </row>
    <row r="29" spans="1:13" x14ac:dyDescent="0.3">
      <c r="A29" s="2">
        <v>27</v>
      </c>
      <c r="B29" s="1">
        <v>1.003151744313209</v>
      </c>
      <c r="C29" s="1">
        <f t="shared" si="0"/>
        <v>1.0982320086830999</v>
      </c>
      <c r="D29" s="1">
        <v>1.000000123721021</v>
      </c>
      <c r="F29" s="1">
        <v>1.001700050675403</v>
      </c>
      <c r="G29" s="1">
        <v>1.0002112085246651</v>
      </c>
      <c r="H29" s="1">
        <f t="shared" si="2"/>
        <v>2.9405357885439187E-3</v>
      </c>
      <c r="J29" s="9">
        <f t="shared" si="3"/>
        <v>-1.6999269543820361E-3</v>
      </c>
      <c r="K29" s="9">
        <f t="shared" si="4"/>
        <v>2051</v>
      </c>
    </row>
    <row r="30" spans="1:13" x14ac:dyDescent="0.3">
      <c r="A30" s="2">
        <v>28</v>
      </c>
      <c r="B30" s="1">
        <v>1.0030022470149349</v>
      </c>
      <c r="C30" s="1">
        <f t="shared" si="0"/>
        <v>1.0947815371990266</v>
      </c>
      <c r="D30" s="1">
        <v>1.000000072288888</v>
      </c>
      <c r="F30" s="1">
        <v>1.001592587379083</v>
      </c>
      <c r="G30" s="1">
        <v>1.000163634830032</v>
      </c>
      <c r="H30" s="1">
        <f t="shared" si="2"/>
        <v>2.8386121849028889E-3</v>
      </c>
      <c r="J30" s="9">
        <f t="shared" si="3"/>
        <v>-1.5925150901949792E-3</v>
      </c>
      <c r="K30" s="9">
        <f t="shared" si="4"/>
        <v>2052</v>
      </c>
    </row>
    <row r="31" spans="1:13" x14ac:dyDescent="0.3">
      <c r="A31" s="2">
        <v>29</v>
      </c>
      <c r="B31" s="1">
        <v>1.002864556638515</v>
      </c>
      <c r="C31" s="1">
        <f t="shared" si="0"/>
        <v>1.0915045708593762</v>
      </c>
      <c r="D31" s="1">
        <v>1.0000000422376349</v>
      </c>
      <c r="F31" s="1">
        <v>1.001495339889926</v>
      </c>
      <c r="G31" s="1">
        <v>1.000126776879116</v>
      </c>
      <c r="H31" s="1">
        <f t="shared" si="2"/>
        <v>2.7377797593990394E-3</v>
      </c>
      <c r="J31" s="9">
        <f t="shared" si="3"/>
        <v>-1.495297652291061E-3</v>
      </c>
      <c r="K31" s="9">
        <f t="shared" si="4"/>
        <v>2053</v>
      </c>
    </row>
    <row r="32" spans="1:13" x14ac:dyDescent="0.3">
      <c r="A32" s="2">
        <v>30</v>
      </c>
      <c r="B32" s="1">
        <v>1.0027373921622511</v>
      </c>
      <c r="C32" s="1">
        <f t="shared" si="0"/>
        <v>1.0883868251541087</v>
      </c>
      <c r="D32" s="1">
        <v>1.000000024679004</v>
      </c>
      <c r="F32" s="1">
        <v>1.001407033118374</v>
      </c>
      <c r="G32" s="1">
        <v>1.000098221002675</v>
      </c>
      <c r="H32" s="1">
        <f t="shared" si="2"/>
        <v>2.6391711595761258E-3</v>
      </c>
      <c r="J32" s="9">
        <f t="shared" si="3"/>
        <v>-1.4070084393700277E-3</v>
      </c>
      <c r="K32" s="9">
        <f t="shared" si="4"/>
        <v>2054</v>
      </c>
    </row>
    <row r="33" spans="1:24" x14ac:dyDescent="0.3">
      <c r="A33" s="2">
        <v>31</v>
      </c>
      <c r="B33" s="1">
        <v>1.0026196470167359</v>
      </c>
      <c r="C33" s="1">
        <f t="shared" si="0"/>
        <v>1.0854156169514808</v>
      </c>
      <c r="D33" s="1">
        <v>1.0000000144196819</v>
      </c>
      <c r="F33" s="1">
        <v>1.0013265866419421</v>
      </c>
      <c r="G33" s="1">
        <v>1.0000760971987459</v>
      </c>
      <c r="H33" s="1">
        <f t="shared" si="2"/>
        <v>2.5435498179899874E-3</v>
      </c>
      <c r="J33" s="9">
        <f t="shared" si="3"/>
        <v>-1.3265722222601806E-3</v>
      </c>
      <c r="K33" s="9">
        <f t="shared" si="4"/>
        <v>2055</v>
      </c>
    </row>
    <row r="34" spans="1:24" x14ac:dyDescent="0.3">
      <c r="A34" s="2">
        <v>32</v>
      </c>
      <c r="B34" s="1">
        <v>1.002510360789131</v>
      </c>
      <c r="C34" s="1">
        <f t="shared" si="0"/>
        <v>1.0825796404260597</v>
      </c>
      <c r="D34" s="1">
        <v>1.000000008425268</v>
      </c>
      <c r="F34" s="1">
        <v>1.0012530798984749</v>
      </c>
      <c r="G34" s="1">
        <v>1.000058956674228</v>
      </c>
      <c r="H34" s="1">
        <f t="shared" ref="H34:H65" si="5">B34-G34</f>
        <v>2.4514041149030774E-3</v>
      </c>
      <c r="J34" s="9">
        <f t="shared" ref="J34:J53" si="6">D34-F34</f>
        <v>-1.2530714732068571E-3</v>
      </c>
      <c r="K34" s="9">
        <f t="shared" si="4"/>
        <v>2056</v>
      </c>
    </row>
    <row r="35" spans="1:24" x14ac:dyDescent="0.3">
      <c r="A35" s="2">
        <v>33</v>
      </c>
      <c r="B35" s="1">
        <v>1.002408696209973</v>
      </c>
      <c r="C35" s="1">
        <f t="shared" si="0"/>
        <v>1.0798687801828819</v>
      </c>
      <c r="D35" s="1">
        <v>1.0000000049227951</v>
      </c>
      <c r="F35" s="1">
        <v>1.0011857244579341</v>
      </c>
      <c r="G35" s="1">
        <v>1.0000456769696291</v>
      </c>
      <c r="H35" s="1">
        <f t="shared" si="5"/>
        <v>2.3630192403438777E-3</v>
      </c>
      <c r="J35" s="9">
        <f t="shared" si="6"/>
        <v>-1.1857195351390182E-3</v>
      </c>
      <c r="K35" s="9">
        <f t="shared" ref="K35:K58" si="7">$K$2+A35</f>
        <v>2057</v>
      </c>
    </row>
    <row r="36" spans="1:24" x14ac:dyDescent="0.3">
      <c r="A36" s="2">
        <v>34</v>
      </c>
      <c r="B36" s="1">
        <v>1.002313920314295</v>
      </c>
      <c r="C36" s="1">
        <f t="shared" si="0"/>
        <v>1.0772739544915955</v>
      </c>
      <c r="D36" s="1">
        <v>1.0000000028763369</v>
      </c>
      <c r="F36" s="1">
        <v>1.001123841769411</v>
      </c>
      <c r="G36" s="1">
        <v>1.0000353884540101</v>
      </c>
      <c r="H36" s="1">
        <f t="shared" si="5"/>
        <v>2.2785318602849269E-3</v>
      </c>
      <c r="J36" s="9">
        <f t="shared" si="6"/>
        <v>-1.1238388930741028E-3</v>
      </c>
      <c r="K36" s="9">
        <f t="shared" si="7"/>
        <v>2058</v>
      </c>
    </row>
    <row r="37" spans="1:24" x14ac:dyDescent="0.3">
      <c r="A37" s="2">
        <v>35</v>
      </c>
      <c r="B37" s="1">
        <v>1.0022253889255139</v>
      </c>
      <c r="C37" s="1">
        <f t="shared" si="0"/>
        <v>1.0747869830579577</v>
      </c>
      <c r="D37" s="1">
        <v>1.0000000016806141</v>
      </c>
      <c r="F37" s="1">
        <v>1.0010668451782121</v>
      </c>
      <c r="G37" s="1">
        <v>1.0000274173765771</v>
      </c>
      <c r="H37" s="1">
        <f t="shared" si="5"/>
        <v>2.1979715489368612E-3</v>
      </c>
      <c r="J37" s="9">
        <f t="shared" si="6"/>
        <v>-1.0668434975980023E-3</v>
      </c>
      <c r="K37" s="9">
        <f t="shared" si="7"/>
        <v>2059</v>
      </c>
    </row>
    <row r="38" spans="1:24" x14ac:dyDescent="0.3">
      <c r="A38" s="2">
        <v>36</v>
      </c>
      <c r="B38" s="1">
        <v>1.002142533802463</v>
      </c>
      <c r="C38" s="1">
        <f t="shared" si="0"/>
        <v>1.0724004749173608</v>
      </c>
      <c r="D38" s="1">
        <v>1.000000000981965</v>
      </c>
      <c r="F38" s="1">
        <v>1.001014225298928</v>
      </c>
      <c r="G38" s="1">
        <v>1.0000212417456309</v>
      </c>
      <c r="H38" s="1">
        <f t="shared" si="5"/>
        <v>2.1212920568320914E-3</v>
      </c>
      <c r="J38" s="9">
        <f t="shared" si="6"/>
        <v>-1.0142243169630749E-3</v>
      </c>
      <c r="K38" s="9">
        <f t="shared" si="7"/>
        <v>2060</v>
      </c>
    </row>
    <row r="39" spans="1:24" x14ac:dyDescent="0.3">
      <c r="A39" s="2">
        <v>37</v>
      </c>
      <c r="B39" s="1">
        <v>1.002064851934739</v>
      </c>
      <c r="C39" s="1">
        <f t="shared" si="0"/>
        <v>1.070107732927287</v>
      </c>
      <c r="D39" s="1">
        <v>1.0000000005737519</v>
      </c>
      <c r="F39" s="1">
        <v>1.000965538045262</v>
      </c>
      <c r="G39" s="1">
        <v>1.0000164571455701</v>
      </c>
      <c r="H39" s="1">
        <f t="shared" si="5"/>
        <v>2.0483947891689613E-3</v>
      </c>
      <c r="J39" s="9">
        <f t="shared" si="6"/>
        <v>-9.6553747151006952E-4</v>
      </c>
      <c r="K39" s="9">
        <f t="shared" si="7"/>
        <v>2061</v>
      </c>
    </row>
    <row r="40" spans="1:24" x14ac:dyDescent="0.3">
      <c r="A40" s="2">
        <v>38</v>
      </c>
      <c r="B40" s="1">
        <v>1.001991896581649</v>
      </c>
      <c r="C40" s="1">
        <f t="shared" si="0"/>
        <v>1.0679026720288354</v>
      </c>
      <c r="D40" s="1">
        <v>1.0000000003352369</v>
      </c>
      <c r="F40" s="1">
        <v>1.000920394777479</v>
      </c>
      <c r="G40" s="1">
        <v>1.0000127502534399</v>
      </c>
      <c r="H40" s="1">
        <f t="shared" si="5"/>
        <v>1.9791463282090582E-3</v>
      </c>
      <c r="J40" s="9">
        <f t="shared" si="6"/>
        <v>-9.2039444224201183E-4</v>
      </c>
      <c r="K40" s="9">
        <f t="shared" si="7"/>
        <v>2062</v>
      </c>
    </row>
    <row r="41" spans="1:24" x14ac:dyDescent="0.3">
      <c r="A41" s="2">
        <v>39</v>
      </c>
      <c r="B41" s="1">
        <v>1.001923269734446</v>
      </c>
      <c r="C41" s="1">
        <f t="shared" si="0"/>
        <v>1.0657797489900314</v>
      </c>
      <c r="D41" s="1">
        <v>1.000000000195876</v>
      </c>
      <c r="F41" s="1">
        <v>1.0008784541486451</v>
      </c>
      <c r="G41" s="1">
        <v>1.0000098783207629</v>
      </c>
      <c r="H41" s="1">
        <f t="shared" si="5"/>
        <v>1.9133914136830743E-3</v>
      </c>
      <c r="J41" s="9">
        <f t="shared" si="6"/>
        <v>-8.7845395276908711E-4</v>
      </c>
      <c r="K41" s="9">
        <f t="shared" si="7"/>
        <v>2063</v>
      </c>
    </row>
    <row r="42" spans="1:24" x14ac:dyDescent="0.3">
      <c r="A42" s="2">
        <v>40</v>
      </c>
      <c r="B42" s="1">
        <v>1.0018586157467411</v>
      </c>
      <c r="C42" s="1">
        <f t="shared" si="0"/>
        <v>1.0637339017712506</v>
      </c>
      <c r="D42" s="1">
        <v>1.000000000114448</v>
      </c>
      <c r="F42" s="1">
        <v>1.0008394153219859</v>
      </c>
      <c r="G42" s="1">
        <v>1.0000076532769759</v>
      </c>
      <c r="H42" s="1">
        <f t="shared" si="5"/>
        <v>1.8509624697651272E-3</v>
      </c>
      <c r="J42" s="9">
        <f t="shared" si="6"/>
        <v>-8.394152075379413E-4</v>
      </c>
      <c r="K42" s="9">
        <f t="shared" si="7"/>
        <v>2064</v>
      </c>
    </row>
    <row r="43" spans="1:24" x14ac:dyDescent="0.3">
      <c r="A43" s="2">
        <v>41</v>
      </c>
      <c r="B43" s="1">
        <v>1.001797615928663</v>
      </c>
      <c r="C43" s="1">
        <f t="shared" si="0"/>
        <v>1.0617604969922732</v>
      </c>
      <c r="D43" s="1">
        <v>1.000000000066871</v>
      </c>
      <c r="F43" s="1">
        <v>1.000803012301239</v>
      </c>
      <c r="G43" s="1">
        <v>1.0000059294134991</v>
      </c>
      <c r="H43" s="1">
        <f t="shared" si="5"/>
        <v>1.7916865151639261E-3</v>
      </c>
      <c r="J43" s="9">
        <f t="shared" si="6"/>
        <v>-8.0301223436807234E-4</v>
      </c>
      <c r="K43" s="9">
        <f t="shared" si="7"/>
        <v>2065</v>
      </c>
    </row>
    <row r="44" spans="1:24" x14ac:dyDescent="0.3">
      <c r="A44" s="2">
        <v>42</v>
      </c>
      <c r="B44" s="1">
        <v>1.001739983940013</v>
      </c>
      <c r="C44" s="1">
        <f t="shared" si="0"/>
        <v>1.0598552842512254</v>
      </c>
      <c r="D44" s="1">
        <v>1.0000000000390721</v>
      </c>
      <c r="F44" s="1">
        <v>1.0007690091694741</v>
      </c>
      <c r="G44" s="1">
        <v>1.0000045938418991</v>
      </c>
      <c r="H44" s="1">
        <f t="shared" si="5"/>
        <v>1.7353900981138537E-3</v>
      </c>
      <c r="J44" s="9">
        <f t="shared" si="6"/>
        <v>-7.6900913040200969E-4</v>
      </c>
      <c r="K44" s="9">
        <f t="shared" si="7"/>
        <v>2066</v>
      </c>
      <c r="N44" s="1" t="s">
        <v>4</v>
      </c>
      <c r="O44" s="9">
        <v>6</v>
      </c>
    </row>
    <row r="45" spans="1:24" x14ac:dyDescent="0.3">
      <c r="A45" s="2">
        <v>43</v>
      </c>
      <c r="B45" s="1">
        <v>1.0016854618489159</v>
      </c>
      <c r="C45" s="1">
        <f t="shared" si="0"/>
        <v>1.0580143562630246</v>
      </c>
      <c r="D45" s="1">
        <v>1.0000000000228291</v>
      </c>
      <c r="F45" s="1">
        <v>1.0007371960732061</v>
      </c>
      <c r="G45" s="1">
        <v>1.000003559101317</v>
      </c>
      <c r="H45" s="1">
        <f t="shared" si="5"/>
        <v>1.6819027475989401E-3</v>
      </c>
      <c r="J45" s="9">
        <f t="shared" si="6"/>
        <v>-7.371960503770314E-4</v>
      </c>
      <c r="K45" s="9">
        <f t="shared" si="7"/>
        <v>2067</v>
      </c>
    </row>
    <row r="46" spans="1:24" x14ac:dyDescent="0.3">
      <c r="A46" s="2">
        <v>44</v>
      </c>
      <c r="B46" s="1">
        <v>1.0016338167472441</v>
      </c>
      <c r="C46" s="1">
        <f t="shared" si="0"/>
        <v>1.0562341139604208</v>
      </c>
      <c r="D46" s="1">
        <v>1.0000000000133391</v>
      </c>
      <c r="F46" s="1">
        <v>1.00070738582102</v>
      </c>
      <c r="G46" s="1">
        <v>1.0000027574310271</v>
      </c>
      <c r="H46" s="1">
        <f t="shared" si="5"/>
        <v>1.6310593162169873E-3</v>
      </c>
      <c r="J46" s="9">
        <f t="shared" si="6"/>
        <v>-7.0738580768092696E-4</v>
      </c>
      <c r="K46" s="9">
        <f t="shared" si="7"/>
        <v>2068</v>
      </c>
      <c r="N46" s="9">
        <v>1</v>
      </c>
      <c r="O46" s="9">
        <v>2</v>
      </c>
      <c r="P46" s="9">
        <v>3</v>
      </c>
      <c r="Q46" s="9">
        <v>4</v>
      </c>
      <c r="R46" s="9">
        <v>5</v>
      </c>
      <c r="S46" s="9">
        <v>6</v>
      </c>
    </row>
    <row r="47" spans="1:24" x14ac:dyDescent="0.3">
      <c r="A47" s="2">
        <v>45</v>
      </c>
      <c r="B47" s="1">
        <v>1.0015848378338059</v>
      </c>
      <c r="C47" s="1">
        <f t="shared" si="0"/>
        <v>1.0545112358431432</v>
      </c>
      <c r="D47" s="1">
        <v>1.000000000007794</v>
      </c>
      <c r="F47" s="1">
        <v>1.0006794109911921</v>
      </c>
      <c r="G47" s="1">
        <v>1.0000021363330771</v>
      </c>
      <c r="H47" s="1">
        <f t="shared" si="5"/>
        <v>1.5827015007288114E-3</v>
      </c>
      <c r="J47" s="9">
        <f t="shared" si="6"/>
        <v>-6.794109833980766E-4</v>
      </c>
      <c r="K47" s="9">
        <f t="shared" si="7"/>
        <v>2069</v>
      </c>
      <c r="N47" s="9">
        <v>1.5</v>
      </c>
      <c r="O47" s="9">
        <v>1.4</v>
      </c>
      <c r="P47" s="9">
        <v>1.3</v>
      </c>
      <c r="Q47" s="9">
        <v>1.2</v>
      </c>
      <c r="R47" s="9">
        <v>1.1000000000000001</v>
      </c>
      <c r="S47" s="9">
        <v>1</v>
      </c>
    </row>
    <row r="48" spans="1:24" x14ac:dyDescent="0.3">
      <c r="A48" s="2">
        <v>46</v>
      </c>
      <c r="B48" s="1">
        <v>1.0015383338921111</v>
      </c>
      <c r="C48" s="1">
        <f t="shared" si="0"/>
        <v>1.0528426509768307</v>
      </c>
      <c r="D48" s="1">
        <v>1.0000000000045539</v>
      </c>
      <c r="F48" s="1">
        <v>1.0006531214628309</v>
      </c>
      <c r="G48" s="1">
        <v>1.0000016551344251</v>
      </c>
      <c r="H48" s="1">
        <f t="shared" si="5"/>
        <v>1.5366787576860386E-3</v>
      </c>
      <c r="J48" s="9">
        <f t="shared" si="6"/>
        <v>-6.5312145827700618E-4</v>
      </c>
      <c r="K48" s="9">
        <f t="shared" si="7"/>
        <v>2070</v>
      </c>
      <c r="V48" s="9">
        <v>1</v>
      </c>
      <c r="W48" s="7">
        <f>1/V48</f>
        <v>1</v>
      </c>
      <c r="X48" s="7"/>
    </row>
    <row r="49" spans="1:28" x14ac:dyDescent="0.3">
      <c r="A49" s="2">
        <v>47</v>
      </c>
      <c r="B49" s="1">
        <v>1.001494131102268</v>
      </c>
      <c r="C49" s="1">
        <f t="shared" si="0"/>
        <v>1.0512255151386409</v>
      </c>
      <c r="D49" s="1">
        <v>1.000000000002661</v>
      </c>
      <c r="F49" s="1">
        <v>1.0006283823008879</v>
      </c>
      <c r="G49" s="1">
        <v>1.0000012823234321</v>
      </c>
      <c r="H49" s="1">
        <f t="shared" si="5"/>
        <v>1.4928487788359313E-3</v>
      </c>
      <c r="J49" s="9">
        <f t="shared" si="6"/>
        <v>-6.2838229822692604E-4</v>
      </c>
      <c r="K49" s="9">
        <f t="shared" si="7"/>
        <v>2071</v>
      </c>
      <c r="V49" s="9">
        <v>1.1000000000000001</v>
      </c>
      <c r="W49" s="7">
        <f>1/V49</f>
        <v>0.90909090909090906</v>
      </c>
      <c r="X49" s="7">
        <f>W49-W48</f>
        <v>-9.0909090909090939E-2</v>
      </c>
    </row>
    <row r="50" spans="1:28" x14ac:dyDescent="0.3">
      <c r="A50" s="2">
        <v>48</v>
      </c>
      <c r="B50" s="1">
        <v>1.0014520711368411</v>
      </c>
      <c r="C50" s="1">
        <f t="shared" si="0"/>
        <v>1.0496571896848137</v>
      </c>
      <c r="D50" s="1">
        <v>1.000000000001555</v>
      </c>
      <c r="F50" s="1">
        <v>1.0006050719380719</v>
      </c>
      <c r="G50" s="1">
        <v>1.0000009934863059</v>
      </c>
      <c r="H50" s="1">
        <f t="shared" si="5"/>
        <v>1.4510776505352041E-3</v>
      </c>
      <c r="J50" s="9">
        <f t="shared" si="6"/>
        <v>-6.0507193651693214E-4</v>
      </c>
      <c r="K50" s="9">
        <f t="shared" si="7"/>
        <v>2072</v>
      </c>
      <c r="N50" s="1">
        <v>1.1000000000000001</v>
      </c>
      <c r="O50" s="9">
        <v>1</v>
      </c>
      <c r="P50" s="16">
        <f>1/O50</f>
        <v>1</v>
      </c>
      <c r="Q50" s="1">
        <v>0</v>
      </c>
      <c r="R50" s="1">
        <v>0</v>
      </c>
      <c r="V50" s="9">
        <v>1.2</v>
      </c>
      <c r="W50" s="7">
        <f t="shared" ref="W50:W53" si="8">1/V50</f>
        <v>0.83333333333333337</v>
      </c>
      <c r="X50" s="7">
        <f>W50-W49</f>
        <v>-7.575757575757569E-2</v>
      </c>
    </row>
    <row r="51" spans="1:28" x14ac:dyDescent="0.3">
      <c r="A51" s="2">
        <v>49</v>
      </c>
      <c r="B51" s="1">
        <v>1.001412009498915</v>
      </c>
      <c r="C51" s="1">
        <f t="shared" si="0"/>
        <v>1.0481352227803078</v>
      </c>
      <c r="D51" s="1">
        <v>1.0000000000009079</v>
      </c>
      <c r="F51" s="1">
        <v>1.000583080606803</v>
      </c>
      <c r="G51" s="1">
        <v>1.0000007697083391</v>
      </c>
      <c r="H51" s="1">
        <f t="shared" si="5"/>
        <v>1.4112397905758911E-3</v>
      </c>
      <c r="J51" s="9">
        <f t="shared" si="6"/>
        <v>-5.8308060589506994E-4</v>
      </c>
      <c r="K51" s="9">
        <f t="shared" si="7"/>
        <v>2073</v>
      </c>
      <c r="M51" s="1">
        <f>N50*N51</f>
        <v>1.2100000000000002</v>
      </c>
      <c r="N51" s="1">
        <f>O51/O50</f>
        <v>1.1000000000000001</v>
      </c>
      <c r="O51" s="9">
        <v>1.1000000000000001</v>
      </c>
      <c r="P51" s="16">
        <f>1/O51</f>
        <v>0.90909090909090906</v>
      </c>
      <c r="Q51" s="1">
        <f>P50-P51</f>
        <v>9.0909090909090939E-2</v>
      </c>
      <c r="R51" s="17">
        <f t="shared" ref="R51:R82" si="9">Q51/$P$140</f>
        <v>0.90909090909090851</v>
      </c>
      <c r="V51" s="9">
        <v>1.3</v>
      </c>
      <c r="W51" s="7">
        <f t="shared" si="8"/>
        <v>0.76923076923076916</v>
      </c>
      <c r="X51" s="7">
        <f t="shared" ref="X51:X53" si="10">W51-W50</f>
        <v>-6.4102564102564208E-2</v>
      </c>
    </row>
    <row r="52" spans="1:28" x14ac:dyDescent="0.3">
      <c r="A52" s="2">
        <v>50</v>
      </c>
      <c r="B52" s="1">
        <v>1.0013738140674071</v>
      </c>
      <c r="C52" s="1">
        <f t="shared" si="0"/>
        <v>1.0466573326844484</v>
      </c>
      <c r="D52" s="1">
        <v>1.0000000000005309</v>
      </c>
      <c r="F52" s="1">
        <v>1.000562308982565</v>
      </c>
      <c r="G52" s="1">
        <v>1.0000005963352729</v>
      </c>
      <c r="H52" s="1">
        <f t="shared" si="5"/>
        <v>1.3732177321341688E-3</v>
      </c>
      <c r="J52" s="9">
        <f t="shared" si="6"/>
        <v>-5.6230898203413204E-4</v>
      </c>
      <c r="K52" s="9">
        <f t="shared" si="7"/>
        <v>2074</v>
      </c>
      <c r="M52" s="1">
        <f>M51*N52</f>
        <v>1.32</v>
      </c>
      <c r="N52" s="1">
        <f t="shared" ref="N52:N115" si="11">O52/O51</f>
        <v>1.0909090909090908</v>
      </c>
      <c r="O52" s="9">
        <v>1.2</v>
      </c>
      <c r="P52" s="16">
        <f t="shared" ref="P52:P114" si="12">1/O52</f>
        <v>0.83333333333333337</v>
      </c>
      <c r="Q52" s="1">
        <f>P51-P52</f>
        <v>7.575757575757569E-2</v>
      </c>
      <c r="R52" s="17">
        <f t="shared" si="9"/>
        <v>0.75757575757575613</v>
      </c>
      <c r="V52" s="9">
        <v>1.4</v>
      </c>
      <c r="W52" s="7">
        <f t="shared" si="8"/>
        <v>0.7142857142857143</v>
      </c>
      <c r="X52" s="7">
        <f t="shared" si="10"/>
        <v>-5.4945054945054861E-2</v>
      </c>
    </row>
    <row r="53" spans="1:28" x14ac:dyDescent="0.3">
      <c r="A53" s="2">
        <v>51</v>
      </c>
      <c r="B53" s="1">
        <v>1.001337363820328</v>
      </c>
      <c r="C53" s="1">
        <f t="shared" si="0"/>
        <v>1.0452213928314218</v>
      </c>
      <c r="D53" s="1">
        <v>1.00000000000031</v>
      </c>
      <c r="F53" s="1">
        <v>1.000542667006574</v>
      </c>
      <c r="G53" s="1">
        <v>1.0000004620136489</v>
      </c>
      <c r="H53" s="1">
        <f t="shared" si="5"/>
        <v>1.3369018066791138E-3</v>
      </c>
      <c r="J53" s="9">
        <f t="shared" si="6"/>
        <v>-5.4266700626404152E-4</v>
      </c>
      <c r="K53" s="9">
        <f t="shared" si="7"/>
        <v>2075</v>
      </c>
      <c r="M53" s="1">
        <f t="shared" ref="M53:M116" si="13">M52*N53</f>
        <v>1.4300000000000002</v>
      </c>
      <c r="N53" s="1">
        <f t="shared" si="11"/>
        <v>1.0833333333333335</v>
      </c>
      <c r="O53" s="9">
        <v>1.3</v>
      </c>
      <c r="P53" s="16">
        <f t="shared" si="12"/>
        <v>0.76923076923076916</v>
      </c>
      <c r="Q53" s="1">
        <f t="shared" ref="Q53:Q113" si="14">P52-P53</f>
        <v>6.4102564102564208E-2</v>
      </c>
      <c r="R53" s="17">
        <f t="shared" si="9"/>
        <v>0.64102564102564141</v>
      </c>
      <c r="V53" s="9">
        <v>1.5</v>
      </c>
      <c r="W53" s="7">
        <f t="shared" si="8"/>
        <v>0.66666666666666663</v>
      </c>
      <c r="X53" s="7">
        <f t="shared" si="10"/>
        <v>-4.7619047619047672E-2</v>
      </c>
    </row>
    <row r="54" spans="1:28" x14ac:dyDescent="0.3">
      <c r="A54" s="2">
        <v>52</v>
      </c>
      <c r="B54" s="1">
        <v>1.0013025477112749</v>
      </c>
      <c r="C54" s="1">
        <f t="shared" si="0"/>
        <v>1.0438254184820053</v>
      </c>
      <c r="D54" s="1">
        <v>1.000000000000181</v>
      </c>
      <c r="F54" s="1">
        <v>1.000524072861118</v>
      </c>
      <c r="G54" s="1">
        <v>1.000000357947318</v>
      </c>
      <c r="H54" s="1">
        <f t="shared" si="5"/>
        <v>1.3021897639569069E-3</v>
      </c>
      <c r="K54" s="9">
        <f t="shared" si="7"/>
        <v>2076</v>
      </c>
      <c r="M54" s="1">
        <f t="shared" si="13"/>
        <v>1.54</v>
      </c>
      <c r="N54" s="1">
        <f t="shared" si="11"/>
        <v>1.0769230769230769</v>
      </c>
      <c r="O54" s="9">
        <v>1.4</v>
      </c>
      <c r="P54" s="16">
        <f t="shared" si="12"/>
        <v>0.7142857142857143</v>
      </c>
      <c r="Q54" s="1">
        <f t="shared" si="14"/>
        <v>5.4945054945054861E-2</v>
      </c>
      <c r="R54" s="17">
        <f t="shared" si="9"/>
        <v>0.54945054945054805</v>
      </c>
      <c r="X54" s="1">
        <f>W52-W53</f>
        <v>4.7619047619047672E-2</v>
      </c>
      <c r="Y54" s="1">
        <f>W51-W52</f>
        <v>5.4945054945054861E-2</v>
      </c>
      <c r="Z54" s="1">
        <f>W50-W51</f>
        <v>6.4102564102564208E-2</v>
      </c>
      <c r="AA54" s="1">
        <f>W49-W50</f>
        <v>7.575757575757569E-2</v>
      </c>
      <c r="AB54" s="1">
        <f>W48-W49</f>
        <v>9.0909090909090939E-2</v>
      </c>
    </row>
    <row r="55" spans="1:28" x14ac:dyDescent="0.3">
      <c r="A55" s="2">
        <v>53</v>
      </c>
      <c r="B55" s="1">
        <v>1.0012692636782781</v>
      </c>
      <c r="C55" s="1">
        <f t="shared" si="0"/>
        <v>1.0424675547544815</v>
      </c>
      <c r="D55" s="1">
        <v>1.0000000000001059</v>
      </c>
      <c r="F55" s="1">
        <v>1.000506452075262</v>
      </c>
      <c r="G55" s="1">
        <v>1.000000277321422</v>
      </c>
      <c r="H55" s="1">
        <f t="shared" si="5"/>
        <v>1.2689863568560167E-3</v>
      </c>
      <c r="K55" s="9">
        <f t="shared" si="7"/>
        <v>2077</v>
      </c>
      <c r="M55" s="1">
        <f t="shared" si="13"/>
        <v>1.65</v>
      </c>
      <c r="N55" s="1">
        <f t="shared" si="11"/>
        <v>1.0714285714285714</v>
      </c>
      <c r="O55" s="9">
        <v>1.5</v>
      </c>
      <c r="P55" s="16">
        <f t="shared" si="12"/>
        <v>0.66666666666666663</v>
      </c>
      <c r="Q55" s="1">
        <f t="shared" si="14"/>
        <v>4.7619047619047672E-2</v>
      </c>
      <c r="R55" s="17">
        <f t="shared" si="9"/>
        <v>0.47619047619047622</v>
      </c>
      <c r="X55" s="1">
        <f>X54/$W$53</f>
        <v>7.1428571428571508E-2</v>
      </c>
      <c r="Y55" s="1">
        <f>Y54/$W$53</f>
        <v>8.2417582417582291E-2</v>
      </c>
      <c r="Z55" s="1">
        <f>Z54/$W$53</f>
        <v>9.6153846153846312E-2</v>
      </c>
      <c r="AA55" s="1">
        <f>AA54/$W$53</f>
        <v>0.11363636363636354</v>
      </c>
      <c r="AB55" s="1">
        <f>AB54/$W$53</f>
        <v>0.13636363636363641</v>
      </c>
    </row>
    <row r="56" spans="1:28" x14ac:dyDescent="0.3">
      <c r="A56" s="2">
        <v>54</v>
      </c>
      <c r="B56" s="1">
        <v>1.0012374177673069</v>
      </c>
      <c r="C56" s="1">
        <f t="shared" si="0"/>
        <v>1.0411460658692915</v>
      </c>
      <c r="D56" s="1">
        <v>1.000000000000062</v>
      </c>
      <c r="F56" s="1">
        <v>1.0004897367422549</v>
      </c>
      <c r="G56" s="1">
        <v>1.000000214856118</v>
      </c>
      <c r="H56" s="1">
        <f t="shared" si="5"/>
        <v>1.2372029111888949E-3</v>
      </c>
      <c r="K56" s="9">
        <f t="shared" si="7"/>
        <v>2078</v>
      </c>
      <c r="M56" s="1">
        <f t="shared" si="13"/>
        <v>1.7599999999999998</v>
      </c>
      <c r="N56" s="1">
        <f t="shared" si="11"/>
        <v>1.0666666666666667</v>
      </c>
      <c r="O56" s="9">
        <v>1.6</v>
      </c>
      <c r="P56" s="16">
        <f t="shared" si="12"/>
        <v>0.625</v>
      </c>
      <c r="Q56" s="1">
        <f t="shared" si="14"/>
        <v>4.166666666666663E-2</v>
      </c>
      <c r="R56" s="17">
        <f t="shared" si="9"/>
        <v>0.41666666666666585</v>
      </c>
    </row>
    <row r="57" spans="1:28" x14ac:dyDescent="0.3">
      <c r="A57" s="2">
        <v>55</v>
      </c>
      <c r="B57" s="1">
        <v>1.001206923355354</v>
      </c>
      <c r="C57" s="1">
        <f t="shared" si="0"/>
        <v>1.0398593254644619</v>
      </c>
      <c r="D57" s="1">
        <v>1.000000000000036</v>
      </c>
      <c r="F57" s="1">
        <v>1.000473864832915</v>
      </c>
      <c r="G57" s="1">
        <v>1.0000001664608209</v>
      </c>
      <c r="H57" s="1">
        <f t="shared" si="5"/>
        <v>1.2067568945330898E-3</v>
      </c>
      <c r="K57" s="9">
        <f t="shared" si="7"/>
        <v>2079</v>
      </c>
      <c r="M57" s="1">
        <f t="shared" si="13"/>
        <v>1.8699999999999997</v>
      </c>
      <c r="N57" s="1">
        <f t="shared" si="11"/>
        <v>1.0625</v>
      </c>
      <c r="O57" s="9">
        <v>1.7</v>
      </c>
      <c r="P57" s="16">
        <f t="shared" si="12"/>
        <v>0.58823529411764708</v>
      </c>
      <c r="Q57" s="1">
        <f t="shared" si="14"/>
        <v>3.6764705882352922E-2</v>
      </c>
      <c r="R57" s="17">
        <f t="shared" si="9"/>
        <v>0.36764705882352883</v>
      </c>
    </row>
    <row r="58" spans="1:28" x14ac:dyDescent="0.3">
      <c r="A58" s="2">
        <v>56</v>
      </c>
      <c r="B58" s="1">
        <v>1.001177700460238</v>
      </c>
      <c r="C58" s="1">
        <f t="shared" si="0"/>
        <v>1.0386058078579519</v>
      </c>
      <c r="D58" s="1">
        <v>1.0000000000000211</v>
      </c>
      <c r="F58" s="1">
        <v>1.0004587795917339</v>
      </c>
      <c r="G58" s="1">
        <v>1.0000001289663289</v>
      </c>
      <c r="H58" s="1">
        <f t="shared" si="5"/>
        <v>1.1775714939090687E-3</v>
      </c>
      <c r="K58" s="9">
        <f t="shared" si="7"/>
        <v>2080</v>
      </c>
      <c r="M58" s="1">
        <f t="shared" si="13"/>
        <v>1.9799999999999998</v>
      </c>
      <c r="N58" s="1">
        <f t="shared" si="11"/>
        <v>1.0588235294117647</v>
      </c>
      <c r="O58" s="9">
        <v>1.8</v>
      </c>
      <c r="P58" s="16">
        <f t="shared" si="12"/>
        <v>0.55555555555555558</v>
      </c>
      <c r="Q58" s="1">
        <f t="shared" si="14"/>
        <v>3.2679738562091498E-2</v>
      </c>
      <c r="R58" s="17">
        <f t="shared" si="9"/>
        <v>0.32679738562091465</v>
      </c>
    </row>
    <row r="59" spans="1:28" x14ac:dyDescent="0.3">
      <c r="A59" s="2">
        <v>57</v>
      </c>
      <c r="B59" s="1">
        <v>1.0011496751261451</v>
      </c>
      <c r="C59" s="1">
        <f t="shared" si="0"/>
        <v>1.0373840801493164</v>
      </c>
      <c r="D59" s="1">
        <v>1.000000000000012</v>
      </c>
      <c r="F59" s="1">
        <v>1.0004444290044701</v>
      </c>
      <c r="G59" s="1">
        <v>1.00000009991729</v>
      </c>
      <c r="H59" s="1">
        <f t="shared" si="5"/>
        <v>1.1495752088550582E-3</v>
      </c>
      <c r="M59" s="1">
        <f t="shared" si="13"/>
        <v>2.09</v>
      </c>
      <c r="N59" s="1">
        <f t="shared" si="11"/>
        <v>1.0555555555555556</v>
      </c>
      <c r="O59" s="9">
        <v>1.9</v>
      </c>
      <c r="P59" s="16">
        <f t="shared" si="12"/>
        <v>0.52631578947368418</v>
      </c>
      <c r="Q59" s="1">
        <f t="shared" si="14"/>
        <v>2.9239766081871399E-2</v>
      </c>
      <c r="R59" s="17">
        <f t="shared" si="9"/>
        <v>0.29239766081871371</v>
      </c>
    </row>
    <row r="60" spans="1:28" x14ac:dyDescent="0.3">
      <c r="A60" s="2">
        <v>58</v>
      </c>
      <c r="B60" s="1">
        <v>1.00112277887543</v>
      </c>
      <c r="C60" s="1">
        <f t="shared" si="0"/>
        <v>1.0361927950669372</v>
      </c>
      <c r="D60" s="1">
        <v>1.0000000000000071</v>
      </c>
      <c r="F60" s="1">
        <v>1.0004307653276761</v>
      </c>
      <c r="G60" s="1">
        <v>1.000000077411406</v>
      </c>
      <c r="H60" s="1">
        <f t="shared" si="5"/>
        <v>1.1227014640240451E-3</v>
      </c>
      <c r="M60" s="1">
        <f t="shared" si="13"/>
        <v>2.1999999999999997</v>
      </c>
      <c r="N60" s="1">
        <f t="shared" si="11"/>
        <v>1.0526315789473684</v>
      </c>
      <c r="O60" s="9">
        <v>2</v>
      </c>
      <c r="P60" s="16">
        <f t="shared" si="12"/>
        <v>0.5</v>
      </c>
      <c r="Q60" s="1">
        <f t="shared" si="14"/>
        <v>2.6315789473684181E-2</v>
      </c>
      <c r="R60" s="17">
        <f t="shared" si="9"/>
        <v>0.26315789473684154</v>
      </c>
    </row>
    <row r="61" spans="1:28" x14ac:dyDescent="0.3">
      <c r="A61" s="2">
        <v>59</v>
      </c>
      <c r="B61" s="1">
        <v>1.0010969482185681</v>
      </c>
      <c r="C61" s="1">
        <f t="shared" si="0"/>
        <v>1.0350306844789823</v>
      </c>
      <c r="D61" s="1">
        <v>1.000000000000004</v>
      </c>
      <c r="F61" s="1">
        <v>1.000417744672055</v>
      </c>
      <c r="G61" s="1">
        <v>1.000000059974862</v>
      </c>
      <c r="H61" s="1">
        <f t="shared" si="5"/>
        <v>1.0968882437061289E-3</v>
      </c>
      <c r="M61" s="1">
        <f t="shared" si="13"/>
        <v>2.3099999999999996</v>
      </c>
      <c r="N61" s="1">
        <f t="shared" si="11"/>
        <v>1.05</v>
      </c>
      <c r="O61" s="9">
        <v>2.1</v>
      </c>
      <c r="P61" s="16">
        <f t="shared" si="12"/>
        <v>0.47619047619047616</v>
      </c>
      <c r="Q61" s="1">
        <f t="shared" si="14"/>
        <v>2.3809523809523836E-2</v>
      </c>
      <c r="R61" s="17">
        <f t="shared" si="9"/>
        <v>0.23809523809523811</v>
      </c>
    </row>
    <row r="62" spans="1:28" x14ac:dyDescent="0.3">
      <c r="A62" s="2">
        <v>60</v>
      </c>
      <c r="B62" s="1">
        <v>1.0010721242152369</v>
      </c>
      <c r="C62" s="1">
        <f t="shared" si="0"/>
        <v>1.0338965534964406</v>
      </c>
      <c r="D62" s="1">
        <v>1.000000000000002</v>
      </c>
      <c r="F62" s="1">
        <v>1.0004053266326749</v>
      </c>
      <c r="G62" s="1">
        <v>1.0000000464658161</v>
      </c>
      <c r="H62" s="1">
        <f t="shared" si="5"/>
        <v>1.0720777494208633E-3</v>
      </c>
      <c r="M62" s="1">
        <f t="shared" si="13"/>
        <v>2.42</v>
      </c>
      <c r="N62" s="1">
        <f t="shared" si="11"/>
        <v>1.0476190476190477</v>
      </c>
      <c r="O62" s="9">
        <v>2.2000000000000002</v>
      </c>
      <c r="P62" s="16">
        <f t="shared" si="12"/>
        <v>0.45454545454545453</v>
      </c>
      <c r="Q62" s="1">
        <f t="shared" si="14"/>
        <v>2.1645021645021634E-2</v>
      </c>
      <c r="R62" s="17">
        <f t="shared" si="9"/>
        <v>0.21645021645021612</v>
      </c>
    </row>
    <row r="63" spans="1:28" x14ac:dyDescent="0.3">
      <c r="A63" s="2">
        <v>61</v>
      </c>
      <c r="B63" s="1">
        <v>1.001048252080454</v>
      </c>
      <c r="C63" s="1">
        <f t="shared" si="0"/>
        <v>1.0327892751053631</v>
      </c>
      <c r="D63" s="1">
        <v>1.0000000000000011</v>
      </c>
      <c r="F63" s="1">
        <v>1.000393473960117</v>
      </c>
      <c r="G63" s="1">
        <v>1.000000035999616</v>
      </c>
      <c r="H63" s="1">
        <f t="shared" si="5"/>
        <v>1.0482160808380492E-3</v>
      </c>
      <c r="M63" s="1">
        <f t="shared" si="13"/>
        <v>2.5299999999999994</v>
      </c>
      <c r="N63" s="1">
        <f t="shared" si="11"/>
        <v>1.0454545454545452</v>
      </c>
      <c r="O63" s="9">
        <v>2.2999999999999998</v>
      </c>
      <c r="P63" s="16">
        <f t="shared" si="12"/>
        <v>0.43478260869565222</v>
      </c>
      <c r="Q63" s="1">
        <f t="shared" si="14"/>
        <v>1.9762845849802313E-2</v>
      </c>
      <c r="R63" s="17">
        <f t="shared" si="9"/>
        <v>0.19762845849802294</v>
      </c>
    </row>
    <row r="64" spans="1:28" x14ac:dyDescent="0.3">
      <c r="A64" s="2">
        <v>62</v>
      </c>
      <c r="B64" s="1">
        <v>1.001025280830504</v>
      </c>
      <c r="C64" s="1">
        <f t="shared" si="0"/>
        <v>1.0317077852730301</v>
      </c>
      <c r="D64" s="1">
        <v>1.0000000000000011</v>
      </c>
      <c r="F64" s="1">
        <v>1.0003821522674261</v>
      </c>
      <c r="G64" s="1">
        <v>1.0000000278908781</v>
      </c>
      <c r="H64" s="1">
        <f t="shared" si="5"/>
        <v>1.0252529396259646E-3</v>
      </c>
      <c r="M64" s="1">
        <f t="shared" si="13"/>
        <v>2.6399999999999992</v>
      </c>
      <c r="N64" s="1">
        <f t="shared" si="11"/>
        <v>1.0434782608695652</v>
      </c>
      <c r="O64" s="9">
        <v>2.4</v>
      </c>
      <c r="P64" s="16">
        <f t="shared" si="12"/>
        <v>0.41666666666666669</v>
      </c>
      <c r="Q64" s="1">
        <f t="shared" si="14"/>
        <v>1.8115942028985532E-2</v>
      </c>
      <c r="R64" s="17">
        <f t="shared" si="9"/>
        <v>0.18115942028985513</v>
      </c>
    </row>
    <row r="65" spans="1:18" x14ac:dyDescent="0.3">
      <c r="A65" s="2">
        <v>63</v>
      </c>
      <c r="B65" s="1">
        <v>1.0010031629640861</v>
      </c>
      <c r="C65" s="1">
        <f t="shared" si="0"/>
        <v>1.030651078479327</v>
      </c>
      <c r="D65" s="1">
        <v>1</v>
      </c>
      <c r="F65" s="1">
        <v>1.0003713297684651</v>
      </c>
      <c r="G65" s="1">
        <v>1.0000000216085929</v>
      </c>
      <c r="H65" s="1">
        <f t="shared" si="5"/>
        <v>1.0031413554931756E-3</v>
      </c>
      <c r="M65" s="1">
        <f t="shared" si="13"/>
        <v>2.7499999999999996</v>
      </c>
      <c r="N65" s="1">
        <f t="shared" si="11"/>
        <v>1.0416666666666667</v>
      </c>
      <c r="O65" s="9">
        <v>2.5</v>
      </c>
      <c r="P65" s="16">
        <f t="shared" si="12"/>
        <v>0.4</v>
      </c>
      <c r="Q65" s="1">
        <f t="shared" si="14"/>
        <v>1.6666666666666663E-2</v>
      </c>
      <c r="R65" s="17">
        <f t="shared" si="9"/>
        <v>0.16666666666666646</v>
      </c>
    </row>
    <row r="66" spans="1:18" x14ac:dyDescent="0.3">
      <c r="A66" s="2">
        <v>64</v>
      </c>
      <c r="B66" s="1">
        <v>1.000981854174684</v>
      </c>
      <c r="C66" s="1">
        <f t="shared" ref="C66:C105" si="15">C67*B66</f>
        <v>1.0296182036302963</v>
      </c>
      <c r="D66" s="1">
        <v>1</v>
      </c>
      <c r="F66" s="1">
        <v>1.000360977043887</v>
      </c>
      <c r="G66" s="1">
        <v>1.0000000167413621</v>
      </c>
      <c r="H66" s="1">
        <f t="shared" ref="H66:H97" si="16">B66-G66</f>
        <v>9.8183743332191931E-4</v>
      </c>
      <c r="M66" s="1">
        <f t="shared" si="13"/>
        <v>2.8599999999999994</v>
      </c>
      <c r="N66" s="1">
        <f t="shared" si="11"/>
        <v>1.04</v>
      </c>
      <c r="O66" s="9">
        <v>2.6</v>
      </c>
      <c r="P66" s="16">
        <f t="shared" si="12"/>
        <v>0.38461538461538458</v>
      </c>
      <c r="Q66" s="1">
        <f t="shared" si="14"/>
        <v>1.5384615384615441E-2</v>
      </c>
      <c r="R66" s="17">
        <f t="shared" si="9"/>
        <v>0.15384615384615424</v>
      </c>
    </row>
    <row r="67" spans="1:18" x14ac:dyDescent="0.3">
      <c r="A67" s="2">
        <v>65</v>
      </c>
      <c r="B67" s="1">
        <v>1.00096131309068</v>
      </c>
      <c r="C67" s="1">
        <f t="shared" si="15"/>
        <v>1.0286082603157909</v>
      </c>
      <c r="D67" s="1">
        <v>1</v>
      </c>
      <c r="F67" s="1">
        <v>1.0003510668314091</v>
      </c>
      <c r="G67" s="1">
        <v>1.000000012970452</v>
      </c>
      <c r="H67" s="1">
        <f t="shared" si="16"/>
        <v>9.6130012022799249E-4</v>
      </c>
      <c r="M67" s="1">
        <f t="shared" si="13"/>
        <v>2.9699999999999998</v>
      </c>
      <c r="N67" s="1">
        <f t="shared" si="11"/>
        <v>1.0384615384615385</v>
      </c>
      <c r="O67" s="9">
        <v>2.7</v>
      </c>
      <c r="P67" s="16">
        <f t="shared" si="12"/>
        <v>0.37037037037037035</v>
      </c>
      <c r="Q67" s="1">
        <f t="shared" si="14"/>
        <v>1.4245014245014231E-2</v>
      </c>
      <c r="R67" s="17">
        <f t="shared" si="9"/>
        <v>0.14245014245014218</v>
      </c>
    </row>
    <row r="68" spans="1:18" x14ac:dyDescent="0.3">
      <c r="A68" s="2">
        <v>66</v>
      </c>
      <c r="B68" s="1">
        <v>1.000941501040165</v>
      </c>
      <c r="C68" s="1">
        <f t="shared" si="15"/>
        <v>1.0276203953774647</v>
      </c>
      <c r="D68" s="1">
        <v>1</v>
      </c>
      <c r="F68" s="1">
        <v>1.0003415738375581</v>
      </c>
      <c r="G68" s="1">
        <v>1.0000000100489199</v>
      </c>
      <c r="H68" s="1">
        <f t="shared" si="16"/>
        <v>9.4149099124507529E-4</v>
      </c>
      <c r="M68" s="1">
        <f t="shared" si="13"/>
        <v>3.0799999999999996</v>
      </c>
      <c r="N68" s="1">
        <f t="shared" si="11"/>
        <v>1.037037037037037</v>
      </c>
      <c r="O68" s="9">
        <v>2.8</v>
      </c>
      <c r="P68" s="16">
        <f t="shared" si="12"/>
        <v>0.35714285714285715</v>
      </c>
      <c r="Q68" s="1">
        <f t="shared" si="14"/>
        <v>1.3227513227513199E-2</v>
      </c>
      <c r="R68" s="17">
        <f t="shared" si="9"/>
        <v>0.13227513227513185</v>
      </c>
    </row>
    <row r="69" spans="1:18" x14ac:dyDescent="0.3">
      <c r="A69" s="2">
        <v>67</v>
      </c>
      <c r="B69" s="1">
        <v>1.0009223818377599</v>
      </c>
      <c r="C69" s="1">
        <f t="shared" si="15"/>
        <v>1.0266537997571041</v>
      </c>
      <c r="D69" s="1">
        <v>1</v>
      </c>
      <c r="F69" s="1">
        <v>1.0003324745683899</v>
      </c>
      <c r="G69" s="1">
        <v>1.0000000077854501</v>
      </c>
      <c r="H69" s="1">
        <f t="shared" si="16"/>
        <v>9.2237405230988223E-4</v>
      </c>
      <c r="M69" s="1">
        <f t="shared" si="13"/>
        <v>3.19</v>
      </c>
      <c r="N69" s="1">
        <f t="shared" si="11"/>
        <v>1.0357142857142858</v>
      </c>
      <c r="O69" s="9">
        <v>2.9</v>
      </c>
      <c r="P69" s="16">
        <f t="shared" si="12"/>
        <v>0.34482758620689657</v>
      </c>
      <c r="Q69" s="1">
        <f t="shared" si="14"/>
        <v>1.2315270935960576E-2</v>
      </c>
      <c r="R69" s="17">
        <f t="shared" si="9"/>
        <v>0.12315270935960564</v>
      </c>
    </row>
    <row r="70" spans="1:18" x14ac:dyDescent="0.3">
      <c r="A70" s="2">
        <v>68</v>
      </c>
      <c r="B70" s="1">
        <v>1.0009039215911191</v>
      </c>
      <c r="C70" s="1">
        <f t="shared" si="15"/>
        <v>1.0257077055986095</v>
      </c>
      <c r="D70" s="1">
        <v>1</v>
      </c>
      <c r="F70" s="1">
        <v>1.000323747177025</v>
      </c>
      <c r="G70" s="1">
        <v>1.000000006031815</v>
      </c>
      <c r="H70" s="1">
        <f t="shared" si="16"/>
        <v>9.039155593040249E-4</v>
      </c>
      <c r="M70" s="1">
        <f t="shared" si="13"/>
        <v>3.3000000000000003</v>
      </c>
      <c r="N70" s="1">
        <f t="shared" si="11"/>
        <v>1.0344827586206897</v>
      </c>
      <c r="O70" s="9">
        <v>3</v>
      </c>
      <c r="P70" s="16">
        <f t="shared" si="12"/>
        <v>0.33333333333333331</v>
      </c>
      <c r="Q70" s="1">
        <f t="shared" si="14"/>
        <v>1.149425287356326E-2</v>
      </c>
      <c r="R70" s="17">
        <f t="shared" si="9"/>
        <v>0.11494252873563247</v>
      </c>
    </row>
    <row r="71" spans="1:18" x14ac:dyDescent="0.3">
      <c r="A71" s="2">
        <v>69</v>
      </c>
      <c r="B71" s="1">
        <v>1.000886088525025</v>
      </c>
      <c r="C71" s="1">
        <f t="shared" si="15"/>
        <v>1.0247813835798147</v>
      </c>
      <c r="D71" s="1">
        <v>1</v>
      </c>
      <c r="F71" s="1">
        <v>1.0003153713261159</v>
      </c>
      <c r="G71" s="1">
        <v>1.0000000046731781</v>
      </c>
      <c r="H71" s="1">
        <f t="shared" si="16"/>
        <v>8.8608385184696381E-4</v>
      </c>
      <c r="M71" s="1">
        <f t="shared" si="13"/>
        <v>3.4100000000000006</v>
      </c>
      <c r="N71" s="1">
        <f t="shared" si="11"/>
        <v>1.0333333333333334</v>
      </c>
      <c r="O71" s="9">
        <v>3.1</v>
      </c>
      <c r="P71" s="16">
        <f t="shared" si="12"/>
        <v>0.32258064516129031</v>
      </c>
      <c r="Q71" s="1">
        <f t="shared" si="14"/>
        <v>1.0752688172043001E-2</v>
      </c>
      <c r="R71" s="17">
        <f t="shared" si="9"/>
        <v>0.1075268817204299</v>
      </c>
    </row>
    <row r="72" spans="1:18" x14ac:dyDescent="0.3">
      <c r="A72" s="2">
        <v>70</v>
      </c>
      <c r="B72" s="1">
        <v>1.000868852821261</v>
      </c>
      <c r="C72" s="1">
        <f t="shared" si="15"/>
        <v>1.0238741404528895</v>
      </c>
      <c r="D72" s="1">
        <v>1</v>
      </c>
      <c r="F72" s="1">
        <v>1.000307328063585</v>
      </c>
      <c r="G72" s="1">
        <v>1.000000003620567</v>
      </c>
      <c r="H72" s="1">
        <f t="shared" si="16"/>
        <v>8.6884920069407734E-4</v>
      </c>
      <c r="M72" s="1">
        <f t="shared" si="13"/>
        <v>3.5200000000000005</v>
      </c>
      <c r="N72" s="1">
        <f t="shared" si="11"/>
        <v>1.032258064516129</v>
      </c>
      <c r="O72" s="9">
        <v>3.2</v>
      </c>
      <c r="P72" s="16">
        <f t="shared" si="12"/>
        <v>0.3125</v>
      </c>
      <c r="Q72" s="1">
        <f t="shared" si="14"/>
        <v>1.0080645161290314E-2</v>
      </c>
      <c r="R72" s="17">
        <f t="shared" si="9"/>
        <v>0.10080645161290304</v>
      </c>
    </row>
    <row r="73" spans="1:18" x14ac:dyDescent="0.3">
      <c r="A73" s="2">
        <v>71</v>
      </c>
      <c r="B73" s="1">
        <v>1.000852186472643</v>
      </c>
      <c r="C73" s="1">
        <f t="shared" si="15"/>
        <v>1.0229853167743015</v>
      </c>
      <c r="D73" s="1">
        <v>1</v>
      </c>
      <c r="F73" s="1">
        <v>1.00029959971019</v>
      </c>
      <c r="G73" s="1">
        <v>1.000000002805052</v>
      </c>
      <c r="H73" s="1">
        <f t="shared" si="16"/>
        <v>8.5218366759098885E-4</v>
      </c>
      <c r="M73" s="1">
        <f t="shared" si="13"/>
        <v>3.63</v>
      </c>
      <c r="N73" s="1">
        <f t="shared" si="11"/>
        <v>1.0312499999999998</v>
      </c>
      <c r="O73" s="9">
        <v>3.3</v>
      </c>
      <c r="P73" s="16">
        <f t="shared" si="12"/>
        <v>0.30303030303030304</v>
      </c>
      <c r="Q73" s="1">
        <f t="shared" si="14"/>
        <v>9.4696969696969613E-3</v>
      </c>
      <c r="R73" s="17">
        <f t="shared" si="9"/>
        <v>9.4696969696969516E-2</v>
      </c>
    </row>
    <row r="74" spans="1:18" x14ac:dyDescent="0.3">
      <c r="A74" s="2">
        <v>72</v>
      </c>
      <c r="B74" s="1">
        <v>1.000836063149791</v>
      </c>
      <c r="C74" s="1">
        <f t="shared" si="15"/>
        <v>1.0221142848072935</v>
      </c>
      <c r="D74" s="1">
        <v>1</v>
      </c>
      <c r="F74" s="1">
        <v>1.000292169757641</v>
      </c>
      <c r="G74" s="1">
        <v>1.000000002173228</v>
      </c>
      <c r="H74" s="1">
        <f t="shared" si="16"/>
        <v>8.3606097656296896E-4</v>
      </c>
      <c r="M74" s="1">
        <f t="shared" si="13"/>
        <v>3.7399999999999998</v>
      </c>
      <c r="N74" s="1">
        <f t="shared" si="11"/>
        <v>1.0303030303030303</v>
      </c>
      <c r="O74" s="9">
        <v>3.4</v>
      </c>
      <c r="P74" s="16">
        <f t="shared" si="12"/>
        <v>0.29411764705882354</v>
      </c>
      <c r="Q74" s="1">
        <f t="shared" si="14"/>
        <v>8.9126559714794995E-3</v>
      </c>
      <c r="R74" s="17">
        <f t="shared" si="9"/>
        <v>8.9126559714794898E-2</v>
      </c>
    </row>
    <row r="75" spans="1:18" x14ac:dyDescent="0.3">
      <c r="A75" s="2">
        <v>73</v>
      </c>
      <c r="B75" s="1">
        <v>1.0008204580793529</v>
      </c>
      <c r="C75" s="1">
        <f t="shared" si="15"/>
        <v>1.0212604465815676</v>
      </c>
      <c r="D75" s="1">
        <v>1</v>
      </c>
      <c r="F75" s="1">
        <v>1.0002850227761519</v>
      </c>
      <c r="G75" s="1">
        <v>1.0000000016837189</v>
      </c>
      <c r="H75" s="1">
        <f t="shared" si="16"/>
        <v>8.2045639563399497E-4</v>
      </c>
      <c r="M75" s="1">
        <f t="shared" si="13"/>
        <v>3.85</v>
      </c>
      <c r="N75" s="1">
        <f t="shared" si="11"/>
        <v>1.0294117647058825</v>
      </c>
      <c r="O75" s="9">
        <v>3.5</v>
      </c>
      <c r="P75" s="16">
        <f t="shared" si="12"/>
        <v>0.2857142857142857</v>
      </c>
      <c r="Q75" s="1">
        <f t="shared" si="14"/>
        <v>8.4033613445378408E-3</v>
      </c>
      <c r="R75" s="17">
        <f t="shared" si="9"/>
        <v>8.4033613445378325E-2</v>
      </c>
    </row>
    <row r="76" spans="1:18" x14ac:dyDescent="0.3">
      <c r="A76" s="2">
        <v>74</v>
      </c>
      <c r="B76" s="1">
        <v>1.0008053479325829</v>
      </c>
      <c r="C76" s="1">
        <f t="shared" si="15"/>
        <v>1.0204232320964346</v>
      </c>
      <c r="D76" s="1">
        <v>1</v>
      </c>
      <c r="F76" s="1">
        <v>1.0002781443304321</v>
      </c>
      <c r="G76" s="1">
        <v>1.000000001304469</v>
      </c>
      <c r="H76" s="1">
        <f t="shared" si="16"/>
        <v>8.0534662811393432E-4</v>
      </c>
      <c r="M76" s="1">
        <f t="shared" si="13"/>
        <v>3.9600000000000004</v>
      </c>
      <c r="N76" s="1">
        <f t="shared" si="11"/>
        <v>1.0285714285714287</v>
      </c>
      <c r="O76" s="9">
        <v>3.6</v>
      </c>
      <c r="P76" s="16">
        <f t="shared" si="12"/>
        <v>0.27777777777777779</v>
      </c>
      <c r="Q76" s="1">
        <f t="shared" si="14"/>
        <v>7.9365079365079083E-3</v>
      </c>
      <c r="R76" s="17">
        <f t="shared" si="9"/>
        <v>7.9365079365079E-2</v>
      </c>
    </row>
    <row r="77" spans="1:18" x14ac:dyDescent="0.3">
      <c r="A77" s="2">
        <v>75</v>
      </c>
      <c r="B77" s="1">
        <v>1.0007907107232461</v>
      </c>
      <c r="C77" s="1">
        <f t="shared" si="15"/>
        <v>1.0196020976550308</v>
      </c>
      <c r="D77" s="1">
        <v>1</v>
      </c>
      <c r="F77" s="1">
        <v>1.000271520903248</v>
      </c>
      <c r="G77" s="1">
        <v>1.000000001010644</v>
      </c>
      <c r="H77" s="1">
        <f t="shared" si="16"/>
        <v>7.90709712602089E-4</v>
      </c>
      <c r="M77" s="1">
        <f t="shared" si="13"/>
        <v>4.0700000000000012</v>
      </c>
      <c r="N77" s="1">
        <f t="shared" si="11"/>
        <v>1.0277777777777779</v>
      </c>
      <c r="O77" s="9">
        <v>3.7</v>
      </c>
      <c r="P77" s="16">
        <f t="shared" si="12"/>
        <v>0.27027027027027023</v>
      </c>
      <c r="Q77" s="1">
        <f t="shared" si="14"/>
        <v>7.5075075075075604E-3</v>
      </c>
      <c r="R77" s="17">
        <f t="shared" si="9"/>
        <v>7.507507507507552E-2</v>
      </c>
    </row>
    <row r="78" spans="1:18" x14ac:dyDescent="0.3">
      <c r="A78" s="2">
        <v>76</v>
      </c>
      <c r="B78" s="1">
        <v>1.0007765257139669</v>
      </c>
      <c r="C78" s="1">
        <f t="shared" si="15"/>
        <v>1.0187965243184465</v>
      </c>
      <c r="D78" s="1">
        <v>1</v>
      </c>
      <c r="F78" s="1">
        <v>1.00026513982579</v>
      </c>
      <c r="G78" s="1">
        <v>1.000000000783001</v>
      </c>
      <c r="H78" s="1">
        <f t="shared" si="16"/>
        <v>7.7652493096591613E-4</v>
      </c>
      <c r="M78" s="1">
        <f t="shared" si="13"/>
        <v>4.1800000000000006</v>
      </c>
      <c r="N78" s="1">
        <f t="shared" si="11"/>
        <v>1.027027027027027</v>
      </c>
      <c r="O78" s="9">
        <v>3.8</v>
      </c>
      <c r="P78" s="16">
        <f t="shared" si="12"/>
        <v>0.26315789473684209</v>
      </c>
      <c r="Q78" s="1">
        <f t="shared" si="14"/>
        <v>7.1123755334281391E-3</v>
      </c>
      <c r="R78" s="17">
        <f t="shared" si="9"/>
        <v>7.1123755334281322E-2</v>
      </c>
    </row>
    <row r="79" spans="1:18" x14ac:dyDescent="0.3">
      <c r="A79" s="2">
        <v>77</v>
      </c>
      <c r="B79" s="1">
        <v>1.0007627733302371</v>
      </c>
      <c r="C79" s="1">
        <f t="shared" si="15"/>
        <v>1.0180060164696847</v>
      </c>
      <c r="D79" s="1">
        <v>1</v>
      </c>
      <c r="F79" s="1">
        <v>1.000258989214144</v>
      </c>
      <c r="G79" s="1">
        <v>1.0000000006066341</v>
      </c>
      <c r="H79" s="1">
        <f t="shared" si="16"/>
        <v>7.627727236030335E-4</v>
      </c>
      <c r="M79" s="1">
        <f t="shared" si="13"/>
        <v>4.2900000000000009</v>
      </c>
      <c r="N79" s="1">
        <f t="shared" si="11"/>
        <v>1.0263157894736843</v>
      </c>
      <c r="O79" s="9">
        <v>3.9</v>
      </c>
      <c r="P79" s="16">
        <f t="shared" si="12"/>
        <v>0.25641025641025644</v>
      </c>
      <c r="Q79" s="1">
        <f t="shared" si="14"/>
        <v>6.7476383265856477E-3</v>
      </c>
      <c r="R79" s="17">
        <f t="shared" si="9"/>
        <v>6.7476383265856407E-2</v>
      </c>
    </row>
    <row r="80" spans="1:18" x14ac:dyDescent="0.3">
      <c r="A80" s="2">
        <v>78</v>
      </c>
      <c r="B80" s="1">
        <v>1.0007494350813351</v>
      </c>
      <c r="C80" s="1">
        <f t="shared" si="15"/>
        <v>1.0172301004783255</v>
      </c>
      <c r="D80" s="1">
        <v>1</v>
      </c>
      <c r="F80" s="1">
        <v>1.0002530579112741</v>
      </c>
      <c r="G80" s="1">
        <v>1.0000000004699929</v>
      </c>
      <c r="H80" s="1">
        <f t="shared" si="16"/>
        <v>7.4943461134213685E-4</v>
      </c>
      <c r="M80" s="1">
        <f t="shared" si="13"/>
        <v>4.4000000000000012</v>
      </c>
      <c r="N80" s="1">
        <f t="shared" si="11"/>
        <v>1.0256410256410258</v>
      </c>
      <c r="O80" s="9">
        <v>4</v>
      </c>
      <c r="P80" s="16">
        <f t="shared" si="12"/>
        <v>0.25</v>
      </c>
      <c r="Q80" s="1">
        <f t="shared" si="14"/>
        <v>6.410256410256443E-3</v>
      </c>
      <c r="R80" s="17">
        <f t="shared" si="9"/>
        <v>6.4102564102564361E-2</v>
      </c>
    </row>
    <row r="81" spans="1:18" x14ac:dyDescent="0.3">
      <c r="A81" s="2">
        <v>79</v>
      </c>
      <c r="B81" s="1">
        <v>1.0007364934875651</v>
      </c>
      <c r="C81" s="1">
        <f t="shared" si="15"/>
        <v>1.0164683234576606</v>
      </c>
      <c r="D81" s="1">
        <v>1</v>
      </c>
      <c r="F81" s="1">
        <v>1.00024733543397</v>
      </c>
      <c r="G81" s="1">
        <v>1.0000000003641289</v>
      </c>
      <c r="H81" s="1">
        <f t="shared" si="16"/>
        <v>7.3649312343615492E-4</v>
      </c>
      <c r="M81" s="1">
        <f t="shared" si="13"/>
        <v>4.5100000000000007</v>
      </c>
      <c r="N81" s="1">
        <f t="shared" si="11"/>
        <v>1.0249999999999999</v>
      </c>
      <c r="O81" s="9">
        <v>4.0999999999999996</v>
      </c>
      <c r="P81" s="16">
        <f t="shared" si="12"/>
        <v>0.24390243902439027</v>
      </c>
      <c r="Q81" s="1">
        <f t="shared" si="14"/>
        <v>6.0975609756097338E-3</v>
      </c>
      <c r="R81" s="17">
        <f t="shared" si="9"/>
        <v>6.0975609756097275E-2</v>
      </c>
    </row>
    <row r="82" spans="1:18" x14ac:dyDescent="0.3">
      <c r="A82" s="2">
        <v>80</v>
      </c>
      <c r="B82" s="1">
        <v>1.000723932013198</v>
      </c>
      <c r="C82" s="1">
        <f t="shared" si="15"/>
        <v>1.0157202521067958</v>
      </c>
      <c r="D82" s="1">
        <v>1</v>
      </c>
      <c r="F82" s="1">
        <v>1.0002418119242771</v>
      </c>
      <c r="G82" s="1">
        <v>1.000000000282111</v>
      </c>
      <c r="H82" s="1">
        <f t="shared" si="16"/>
        <v>7.2393173108697972E-4</v>
      </c>
      <c r="M82" s="1">
        <f t="shared" si="13"/>
        <v>4.620000000000001</v>
      </c>
      <c r="N82" s="1">
        <f t="shared" si="11"/>
        <v>1.024390243902439</v>
      </c>
      <c r="O82" s="9">
        <v>4.2</v>
      </c>
      <c r="P82" s="16">
        <f t="shared" si="12"/>
        <v>0.23809523809523808</v>
      </c>
      <c r="Q82" s="1">
        <f t="shared" si="14"/>
        <v>5.8072009291521842E-3</v>
      </c>
      <c r="R82" s="17">
        <f t="shared" si="9"/>
        <v>5.807200929152178E-2</v>
      </c>
    </row>
    <row r="83" spans="1:18" x14ac:dyDescent="0.3">
      <c r="A83" s="2">
        <v>81</v>
      </c>
      <c r="B83" s="1">
        <v>1.0007117350046351</v>
      </c>
      <c r="C83" s="1">
        <f t="shared" si="15"/>
        <v>1.0149854716309514</v>
      </c>
      <c r="D83" s="1">
        <v>1</v>
      </c>
      <c r="F83" s="1">
        <v>1.0002364781049811</v>
      </c>
      <c r="G83" s="1">
        <v>1.0000000002185669</v>
      </c>
      <c r="H83" s="1">
        <f t="shared" si="16"/>
        <v>7.1173478606811891E-4</v>
      </c>
      <c r="M83" s="1">
        <f t="shared" si="13"/>
        <v>4.7300000000000004</v>
      </c>
      <c r="N83" s="1">
        <f t="shared" si="11"/>
        <v>1.0238095238095237</v>
      </c>
      <c r="O83" s="9">
        <v>4.3</v>
      </c>
      <c r="P83" s="16">
        <f t="shared" si="12"/>
        <v>0.23255813953488372</v>
      </c>
      <c r="Q83" s="1">
        <f t="shared" si="14"/>
        <v>5.5370985603543643E-3</v>
      </c>
      <c r="R83" s="17">
        <f t="shared" ref="R83:R114" si="17">Q83/$P$140</f>
        <v>5.5370985603543588E-2</v>
      </c>
    </row>
    <row r="84" spans="1:18" x14ac:dyDescent="0.3">
      <c r="A84" s="2">
        <v>82</v>
      </c>
      <c r="B84" s="1">
        <v>1.000699887633308</v>
      </c>
      <c r="C84" s="1">
        <f t="shared" si="15"/>
        <v>1.0142635847337698</v>
      </c>
      <c r="D84" s="1">
        <v>1</v>
      </c>
      <c r="F84" s="1">
        <v>1.0002313252387649</v>
      </c>
      <c r="G84" s="1">
        <v>1.0000000001693361</v>
      </c>
      <c r="H84" s="1">
        <f t="shared" si="16"/>
        <v>6.9988746397187107E-4</v>
      </c>
      <c r="M84" s="1">
        <f t="shared" si="13"/>
        <v>4.8400000000000007</v>
      </c>
      <c r="N84" s="1">
        <f t="shared" si="11"/>
        <v>1.0232558139534884</v>
      </c>
      <c r="O84" s="9">
        <v>4.4000000000000004</v>
      </c>
      <c r="P84" s="16">
        <f t="shared" si="12"/>
        <v>0.22727272727272727</v>
      </c>
      <c r="Q84" s="1">
        <f t="shared" si="14"/>
        <v>5.2854122621564525E-3</v>
      </c>
      <c r="R84" s="17">
        <f t="shared" si="17"/>
        <v>5.285412262156447E-2</v>
      </c>
    </row>
    <row r="85" spans="1:18" x14ac:dyDescent="0.3">
      <c r="A85" s="2">
        <v>83</v>
      </c>
      <c r="B85" s="1">
        <v>1.000688375842915</v>
      </c>
      <c r="C85" s="1">
        <f t="shared" si="15"/>
        <v>1.0135542106760305</v>
      </c>
      <c r="D85" s="1">
        <v>1</v>
      </c>
      <c r="F85" s="1">
        <v>1.000226345090691</v>
      </c>
      <c r="G85" s="1">
        <v>1.0000000001311939</v>
      </c>
      <c r="H85" s="1">
        <f t="shared" si="16"/>
        <v>6.883757117210898E-4</v>
      </c>
      <c r="M85" s="1">
        <f t="shared" si="13"/>
        <v>4.9500000000000011</v>
      </c>
      <c r="N85" s="1">
        <f t="shared" si="11"/>
        <v>1.0227272727272727</v>
      </c>
      <c r="O85" s="9">
        <v>4.5</v>
      </c>
      <c r="P85" s="16">
        <f t="shared" si="12"/>
        <v>0.22222222222222221</v>
      </c>
      <c r="Q85" s="1">
        <f t="shared" si="14"/>
        <v>5.0505050505050553E-3</v>
      </c>
      <c r="R85" s="17">
        <f t="shared" si="17"/>
        <v>5.0505050505050504E-2</v>
      </c>
    </row>
    <row r="86" spans="1:18" x14ac:dyDescent="0.3">
      <c r="A86" s="2">
        <v>84</v>
      </c>
      <c r="B86" s="1">
        <v>1.000677186300609</v>
      </c>
      <c r="C86" s="1">
        <f t="shared" si="15"/>
        <v>1.0128569843956448</v>
      </c>
      <c r="D86" s="1">
        <v>1</v>
      </c>
      <c r="F86" s="1">
        <v>1.0002215298937089</v>
      </c>
      <c r="G86" s="1">
        <v>1.0000000001016429</v>
      </c>
      <c r="H86" s="1">
        <f t="shared" si="16"/>
        <v>6.7718619896606214E-4</v>
      </c>
      <c r="M86" s="1">
        <f t="shared" si="13"/>
        <v>5.0600000000000005</v>
      </c>
      <c r="N86" s="1">
        <f t="shared" si="11"/>
        <v>1.0222222222222221</v>
      </c>
      <c r="O86" s="9">
        <v>4.5999999999999996</v>
      </c>
      <c r="P86" s="16">
        <f t="shared" si="12"/>
        <v>0.21739130434782611</v>
      </c>
      <c r="Q86" s="1">
        <f t="shared" si="14"/>
        <v>4.8309178743961012E-3</v>
      </c>
      <c r="R86" s="17">
        <f t="shared" si="17"/>
        <v>4.8309178743960964E-2</v>
      </c>
    </row>
    <row r="87" spans="1:18" x14ac:dyDescent="0.3">
      <c r="A87" s="2">
        <v>85</v>
      </c>
      <c r="B87" s="1">
        <v>1.0006663063518</v>
      </c>
      <c r="C87" s="1">
        <f t="shared" si="15"/>
        <v>1.0121715556842692</v>
      </c>
      <c r="D87" s="1">
        <v>1</v>
      </c>
      <c r="F87" s="1">
        <v>1.0002168723169009</v>
      </c>
      <c r="G87" s="1">
        <v>1.0000000000787479</v>
      </c>
      <c r="H87" s="1">
        <f t="shared" si="16"/>
        <v>6.6630627305208634E-4</v>
      </c>
      <c r="M87" s="1">
        <f t="shared" si="13"/>
        <v>5.1700000000000008</v>
      </c>
      <c r="N87" s="1">
        <f t="shared" si="11"/>
        <v>1.0217391304347827</v>
      </c>
      <c r="O87" s="9">
        <v>4.7</v>
      </c>
      <c r="P87" s="16">
        <f t="shared" si="12"/>
        <v>0.21276595744680851</v>
      </c>
      <c r="Q87" s="1">
        <f t="shared" si="14"/>
        <v>4.6253469010175963E-3</v>
      </c>
      <c r="R87" s="17">
        <f t="shared" si="17"/>
        <v>4.6253469010175914E-2</v>
      </c>
    </row>
    <row r="88" spans="1:18" x14ac:dyDescent="0.3">
      <c r="A88" s="2">
        <v>86</v>
      </c>
      <c r="B88" s="1">
        <v>1.0006557239782701</v>
      </c>
      <c r="C88" s="1">
        <f t="shared" si="15"/>
        <v>1.0114975884162771</v>
      </c>
      <c r="D88" s="1">
        <v>1</v>
      </c>
      <c r="F88" s="1">
        <v>1.00021236543623</v>
      </c>
      <c r="G88" s="1">
        <v>1.000000000061011</v>
      </c>
      <c r="H88" s="1">
        <f t="shared" si="16"/>
        <v>6.5572391725909895E-4</v>
      </c>
      <c r="M88" s="1">
        <f t="shared" si="13"/>
        <v>5.28</v>
      </c>
      <c r="N88" s="1">
        <f t="shared" si="11"/>
        <v>1.0212765957446808</v>
      </c>
      <c r="O88" s="9">
        <v>4.8</v>
      </c>
      <c r="P88" s="16">
        <f t="shared" si="12"/>
        <v>0.20833333333333334</v>
      </c>
      <c r="Q88" s="1">
        <f t="shared" si="14"/>
        <v>4.4326241134751698E-3</v>
      </c>
      <c r="R88" s="17">
        <f t="shared" si="17"/>
        <v>4.432624113475165E-2</v>
      </c>
    </row>
    <row r="89" spans="1:18" x14ac:dyDescent="0.3">
      <c r="A89" s="2">
        <v>87</v>
      </c>
      <c r="B89" s="1">
        <v>1.0006454277593171</v>
      </c>
      <c r="C89" s="1">
        <f t="shared" si="15"/>
        <v>1.0108347598261902</v>
      </c>
      <c r="D89" s="1">
        <v>1</v>
      </c>
      <c r="F89" s="1">
        <v>1.0002080027075591</v>
      </c>
      <c r="G89" s="1">
        <v>1.000000000047268</v>
      </c>
      <c r="H89" s="1">
        <f t="shared" si="16"/>
        <v>6.4542771204911809E-4</v>
      </c>
      <c r="M89" s="1">
        <f t="shared" si="13"/>
        <v>5.3900000000000015</v>
      </c>
      <c r="N89" s="1">
        <f t="shared" si="11"/>
        <v>1.0208333333333335</v>
      </c>
      <c r="O89" s="9">
        <v>4.9000000000000004</v>
      </c>
      <c r="P89" s="16">
        <f t="shared" si="12"/>
        <v>0.2040816326530612</v>
      </c>
      <c r="Q89" s="1">
        <f t="shared" si="14"/>
        <v>4.2517006802721413E-3</v>
      </c>
      <c r="R89" s="17">
        <f t="shared" si="17"/>
        <v>4.2517006802721372E-2</v>
      </c>
    </row>
    <row r="90" spans="1:18" x14ac:dyDescent="0.3">
      <c r="A90" s="2">
        <v>88</v>
      </c>
      <c r="B90" s="1">
        <v>1.000635406835684</v>
      </c>
      <c r="C90" s="1">
        <f t="shared" si="15"/>
        <v>1.0101827598310118</v>
      </c>
      <c r="D90" s="1">
        <v>1</v>
      </c>
      <c r="F90" s="1">
        <v>1.0002037779417501</v>
      </c>
      <c r="G90" s="1">
        <v>1.0000000000366209</v>
      </c>
      <c r="H90" s="1">
        <f t="shared" si="16"/>
        <v>6.3540679906304298E-4</v>
      </c>
      <c r="M90" s="1">
        <f t="shared" si="13"/>
        <v>5.5000000000000018</v>
      </c>
      <c r="N90" s="1">
        <f t="shared" si="11"/>
        <v>1.0204081632653061</v>
      </c>
      <c r="O90" s="9">
        <v>5</v>
      </c>
      <c r="P90" s="16">
        <f t="shared" si="12"/>
        <v>0.2</v>
      </c>
      <c r="Q90" s="1">
        <f t="shared" si="14"/>
        <v>4.0816326530611902E-3</v>
      </c>
      <c r="R90" s="17">
        <f t="shared" si="17"/>
        <v>4.081632653061186E-2</v>
      </c>
    </row>
    <row r="91" spans="1:18" x14ac:dyDescent="0.3">
      <c r="A91" s="2">
        <v>89</v>
      </c>
      <c r="B91" s="1">
        <v>1.0006256508760409</v>
      </c>
      <c r="C91" s="1">
        <f t="shared" si="15"/>
        <v>1.00954129039419</v>
      </c>
      <c r="D91" s="1">
        <v>1</v>
      </c>
      <c r="F91" s="1">
        <v>1.000199685281643</v>
      </c>
      <c r="G91" s="1">
        <v>1.0000000000283731</v>
      </c>
      <c r="H91" s="1">
        <f t="shared" si="16"/>
        <v>6.2565084766785795E-4</v>
      </c>
      <c r="M91" s="1">
        <f t="shared" si="13"/>
        <v>5.6100000000000021</v>
      </c>
      <c r="N91" s="1">
        <f t="shared" si="11"/>
        <v>1.02</v>
      </c>
      <c r="O91" s="9">
        <v>5.0999999999999996</v>
      </c>
      <c r="P91" s="16">
        <f t="shared" si="12"/>
        <v>0.19607843137254904</v>
      </c>
      <c r="Q91" s="1">
        <f t="shared" si="14"/>
        <v>3.9215686274509665E-3</v>
      </c>
      <c r="R91" s="17">
        <f t="shared" si="17"/>
        <v>3.9215686274509623E-2</v>
      </c>
    </row>
    <row r="92" spans="1:18" x14ac:dyDescent="0.3">
      <c r="A92" s="2">
        <v>90</v>
      </c>
      <c r="B92" s="1">
        <v>1.0006161500458071</v>
      </c>
      <c r="C92" s="1">
        <f t="shared" si="15"/>
        <v>1.0089100649282212</v>
      </c>
      <c r="D92" s="1">
        <v>1</v>
      </c>
      <c r="F92" s="1">
        <v>1.0001957191807831</v>
      </c>
      <c r="G92" s="1">
        <v>1.000000000021982</v>
      </c>
      <c r="H92" s="1">
        <f t="shared" si="16"/>
        <v>6.1615002382509054E-4</v>
      </c>
      <c r="M92" s="1">
        <f t="shared" si="13"/>
        <v>5.7200000000000033</v>
      </c>
      <c r="N92" s="1">
        <f t="shared" si="11"/>
        <v>1.0196078431372551</v>
      </c>
      <c r="O92" s="9">
        <v>5.2</v>
      </c>
      <c r="P92" s="16">
        <f t="shared" si="12"/>
        <v>0.19230769230769229</v>
      </c>
      <c r="Q92" s="1">
        <f t="shared" si="14"/>
        <v>3.770739064856754E-3</v>
      </c>
      <c r="R92" s="17">
        <f t="shared" si="17"/>
        <v>3.7707390648567499E-2</v>
      </c>
    </row>
    <row r="93" spans="1:18" x14ac:dyDescent="0.3">
      <c r="A93" s="2">
        <v>91</v>
      </c>
      <c r="B93" s="1">
        <v>1.0006068949781399</v>
      </c>
      <c r="C93" s="1">
        <f t="shared" si="15"/>
        <v>1.0082888077331498</v>
      </c>
      <c r="D93" s="1">
        <v>1</v>
      </c>
      <c r="F93" s="1">
        <v>1.000191874383713</v>
      </c>
      <c r="G93" s="1">
        <v>1.0000000000170299</v>
      </c>
      <c r="H93" s="1">
        <f t="shared" si="16"/>
        <v>6.0689496110999386E-4</v>
      </c>
      <c r="M93" s="1">
        <f t="shared" si="13"/>
        <v>5.8300000000000027</v>
      </c>
      <c r="N93" s="1">
        <f t="shared" si="11"/>
        <v>1.0192307692307692</v>
      </c>
      <c r="O93" s="9">
        <v>5.3</v>
      </c>
      <c r="P93" s="16">
        <f t="shared" si="12"/>
        <v>0.18867924528301888</v>
      </c>
      <c r="Q93" s="1">
        <f t="shared" si="14"/>
        <v>3.6284470246734091E-3</v>
      </c>
      <c r="R93" s="17">
        <f t="shared" si="17"/>
        <v>3.6284470246734056E-2</v>
      </c>
    </row>
    <row r="94" spans="1:18" x14ac:dyDescent="0.3">
      <c r="A94" s="2">
        <v>92</v>
      </c>
      <c r="B94" s="1">
        <v>1.0005978767469119</v>
      </c>
      <c r="C94" s="1">
        <f t="shared" si="15"/>
        <v>1.007677253468434</v>
      </c>
      <c r="D94" s="1">
        <v>1</v>
      </c>
      <c r="F94" s="1">
        <v>1.000188145907726</v>
      </c>
      <c r="G94" s="1">
        <v>1.000000000013195</v>
      </c>
      <c r="H94" s="1">
        <f t="shared" si="16"/>
        <v>5.9787673371691774E-4</v>
      </c>
      <c r="M94" s="1">
        <f t="shared" si="13"/>
        <v>5.9400000000000031</v>
      </c>
      <c r="N94" s="1">
        <f t="shared" si="11"/>
        <v>1.0188679245283019</v>
      </c>
      <c r="O94" s="9">
        <v>5.4</v>
      </c>
      <c r="P94" s="16">
        <f t="shared" si="12"/>
        <v>0.18518518518518517</v>
      </c>
      <c r="Q94" s="1">
        <f t="shared" si="14"/>
        <v>3.4940600978337066E-3</v>
      </c>
      <c r="R94" s="17">
        <f t="shared" si="17"/>
        <v>3.4940600978337032E-2</v>
      </c>
    </row>
    <row r="95" spans="1:18" x14ac:dyDescent="0.3">
      <c r="A95" s="2">
        <v>93</v>
      </c>
      <c r="B95" s="1">
        <v>1.0005890868415119</v>
      </c>
      <c r="C95" s="1">
        <f t="shared" si="15"/>
        <v>1.0070751466558554</v>
      </c>
      <c r="D95" s="1">
        <v>1</v>
      </c>
      <c r="F95" s="1">
        <v>1.000184529025939</v>
      </c>
      <c r="G95" s="1">
        <v>1.000000000010222</v>
      </c>
      <c r="H95" s="1">
        <f t="shared" si="16"/>
        <v>5.890868312898867E-4</v>
      </c>
      <c r="M95" s="1">
        <f t="shared" si="13"/>
        <v>6.0499999999999918</v>
      </c>
      <c r="N95" s="1">
        <f t="shared" si="11"/>
        <v>1.0185185185185166</v>
      </c>
      <c r="O95" s="9">
        <v>5.4999999999999902</v>
      </c>
      <c r="P95" s="16">
        <f t="shared" si="12"/>
        <v>0.18181818181818213</v>
      </c>
      <c r="Q95" s="1">
        <f t="shared" si="14"/>
        <v>3.3670033670030464E-3</v>
      </c>
      <c r="R95" s="17">
        <f t="shared" si="17"/>
        <v>3.3670033670030429E-2</v>
      </c>
    </row>
    <row r="96" spans="1:18" x14ac:dyDescent="0.3">
      <c r="A96" s="2">
        <v>94</v>
      </c>
      <c r="B96" s="1">
        <v>1.000580517143342</v>
      </c>
      <c r="C96" s="1">
        <f t="shared" si="15"/>
        <v>1.0064822412113423</v>
      </c>
      <c r="D96" s="1">
        <v>1</v>
      </c>
      <c r="F96" s="1">
        <v>1.000181019251591</v>
      </c>
      <c r="G96" s="1">
        <v>1.0000000000079201</v>
      </c>
      <c r="H96" s="1">
        <f t="shared" si="16"/>
        <v>5.8051713542184302E-4</v>
      </c>
      <c r="M96" s="1">
        <f t="shared" si="13"/>
        <v>6.1599999999999913</v>
      </c>
      <c r="N96" s="1">
        <f t="shared" si="11"/>
        <v>1.0181818181818181</v>
      </c>
      <c r="O96" s="9">
        <v>5.5999999999999899</v>
      </c>
      <c r="P96" s="16">
        <f t="shared" si="12"/>
        <v>0.17857142857142888</v>
      </c>
      <c r="Q96" s="1">
        <f t="shared" si="14"/>
        <v>3.2467532467532478E-3</v>
      </c>
      <c r="R96" s="17">
        <f t="shared" si="17"/>
        <v>3.2467532467532444E-2</v>
      </c>
    </row>
    <row r="97" spans="1:18" x14ac:dyDescent="0.3">
      <c r="A97" s="2">
        <v>95</v>
      </c>
      <c r="B97" s="1">
        <v>1.0005721599038759</v>
      </c>
      <c r="C97" s="1">
        <f t="shared" si="15"/>
        <v>1.0058983000037316</v>
      </c>
      <c r="D97" s="1">
        <v>1</v>
      </c>
      <c r="F97" s="1">
        <v>1.00017761232345</v>
      </c>
      <c r="G97" s="1">
        <v>1.000000000006136</v>
      </c>
      <c r="H97" s="1">
        <f t="shared" si="16"/>
        <v>5.7215989773995446E-4</v>
      </c>
      <c r="M97" s="1">
        <f t="shared" si="13"/>
        <v>6.2700000000000031</v>
      </c>
      <c r="N97" s="1">
        <f t="shared" si="11"/>
        <v>1.0178571428571448</v>
      </c>
      <c r="O97" s="9">
        <v>5.7</v>
      </c>
      <c r="P97" s="16">
        <f t="shared" si="12"/>
        <v>0.17543859649122806</v>
      </c>
      <c r="Q97" s="1">
        <f t="shared" si="14"/>
        <v>3.1328320802008203E-3</v>
      </c>
      <c r="R97" s="17">
        <f t="shared" si="17"/>
        <v>3.1328320802008168E-2</v>
      </c>
    </row>
    <row r="98" spans="1:18" x14ac:dyDescent="0.3">
      <c r="A98" s="2">
        <v>96</v>
      </c>
      <c r="B98" s="1">
        <v>1.000564007724152</v>
      </c>
      <c r="C98" s="1">
        <f t="shared" si="15"/>
        <v>1.0053230944386533</v>
      </c>
      <c r="D98" s="1">
        <v>1</v>
      </c>
      <c r="F98" s="1">
        <v>1.0001743041922619</v>
      </c>
      <c r="G98" s="1">
        <v>1.000000000004754</v>
      </c>
      <c r="H98" s="1">
        <f t="shared" ref="H98:H129" si="18">B98-G98</f>
        <v>5.6400771939801864E-4</v>
      </c>
      <c r="M98" s="1">
        <f t="shared" si="13"/>
        <v>6.3799999999999928</v>
      </c>
      <c r="N98" s="1">
        <f t="shared" si="11"/>
        <v>1.0175438596491211</v>
      </c>
      <c r="O98" s="9">
        <v>5.7999999999999901</v>
      </c>
      <c r="P98" s="16">
        <f t="shared" si="12"/>
        <v>0.17241379310344856</v>
      </c>
      <c r="Q98" s="1">
        <f t="shared" si="14"/>
        <v>3.0248033877794955E-3</v>
      </c>
      <c r="R98" s="17">
        <f t="shared" si="17"/>
        <v>3.0248033877794924E-2</v>
      </c>
    </row>
    <row r="99" spans="1:18" x14ac:dyDescent="0.3">
      <c r="A99" s="2">
        <v>97</v>
      </c>
      <c r="B99" s="1">
        <v>1.0005560535356071</v>
      </c>
      <c r="C99" s="1">
        <f t="shared" si="15"/>
        <v>1.004756404065869</v>
      </c>
      <c r="D99" s="1">
        <v>1</v>
      </c>
      <c r="F99" s="1">
        <v>1.0001710910081341</v>
      </c>
      <c r="G99" s="1">
        <v>1.0000000000036831</v>
      </c>
      <c r="H99" s="1">
        <f t="shared" si="18"/>
        <v>5.5605353192400564E-4</v>
      </c>
      <c r="M99" s="1">
        <f t="shared" si="13"/>
        <v>6.4899999999999922</v>
      </c>
      <c r="N99" s="1">
        <f t="shared" si="11"/>
        <v>1.0172413793103448</v>
      </c>
      <c r="O99" s="9">
        <v>5.8999999999999897</v>
      </c>
      <c r="P99" s="16">
        <f t="shared" si="12"/>
        <v>0.16949152542372911</v>
      </c>
      <c r="Q99" s="1">
        <f t="shared" si="14"/>
        <v>2.9222676797194536E-3</v>
      </c>
      <c r="R99" s="17">
        <f t="shared" si="17"/>
        <v>2.9222676797194504E-2</v>
      </c>
    </row>
    <row r="100" spans="1:18" x14ac:dyDescent="0.3">
      <c r="A100" s="2">
        <v>98</v>
      </c>
      <c r="B100" s="1">
        <v>1.0005482905821379</v>
      </c>
      <c r="C100" s="1">
        <f t="shared" si="15"/>
        <v>1.0041980162085067</v>
      </c>
      <c r="D100" s="1">
        <v>1</v>
      </c>
      <c r="F100" s="1">
        <v>1.0001679691087919</v>
      </c>
      <c r="G100" s="1">
        <v>1.0000000000028531</v>
      </c>
      <c r="H100" s="1">
        <f t="shared" si="18"/>
        <v>5.4829057928484914E-4</v>
      </c>
      <c r="M100" s="1">
        <f t="shared" si="13"/>
        <v>6.5999999999999934</v>
      </c>
      <c r="N100" s="1">
        <f t="shared" si="11"/>
        <v>1.0169491525423731</v>
      </c>
      <c r="O100" s="9">
        <v>5.9999999999999902</v>
      </c>
      <c r="P100" s="16">
        <f t="shared" si="12"/>
        <v>0.16666666666666693</v>
      </c>
      <c r="Q100" s="1">
        <f t="shared" si="14"/>
        <v>2.8248587570621764E-3</v>
      </c>
      <c r="R100" s="17">
        <f t="shared" si="17"/>
        <v>2.8248587570621736E-2</v>
      </c>
    </row>
    <row r="101" spans="1:18" x14ac:dyDescent="0.3">
      <c r="A101" s="2">
        <v>99</v>
      </c>
      <c r="B101" s="1">
        <v>1.0005407124033121</v>
      </c>
      <c r="C101" s="1">
        <f t="shared" si="15"/>
        <v>1.0036477256127692</v>
      </c>
      <c r="D101" s="1">
        <v>1</v>
      </c>
      <c r="F101" s="1">
        <v>1.000164935008643</v>
      </c>
      <c r="G101" s="1">
        <v>1.0000000000022109</v>
      </c>
      <c r="H101" s="1">
        <f t="shared" si="18"/>
        <v>5.4071240110120655E-4</v>
      </c>
      <c r="M101" s="1">
        <f t="shared" si="13"/>
        <v>6.7099999999999929</v>
      </c>
      <c r="N101" s="1">
        <f t="shared" si="11"/>
        <v>1.0166666666666666</v>
      </c>
      <c r="O101" s="9">
        <v>6.0999999999999899</v>
      </c>
      <c r="P101" s="16">
        <f t="shared" si="12"/>
        <v>0.16393442622950846</v>
      </c>
      <c r="Q101" s="1">
        <f t="shared" si="14"/>
        <v>2.732240437158473E-3</v>
      </c>
      <c r="R101" s="17">
        <f t="shared" si="17"/>
        <v>2.7322404371584702E-2</v>
      </c>
    </row>
    <row r="102" spans="1:18" x14ac:dyDescent="0.3">
      <c r="A102" s="2">
        <v>100</v>
      </c>
      <c r="B102" s="1">
        <v>1.0005333128186309</v>
      </c>
      <c r="C102" s="1">
        <f t="shared" si="15"/>
        <v>1.0031053341167837</v>
      </c>
      <c r="D102" s="1">
        <v>1</v>
      </c>
      <c r="F102" s="1">
        <v>1.000161985388581</v>
      </c>
      <c r="G102" s="1">
        <v>1.0000000000017131</v>
      </c>
      <c r="H102" s="1">
        <f t="shared" si="18"/>
        <v>5.3331281691781918E-4</v>
      </c>
      <c r="M102" s="1">
        <f t="shared" si="13"/>
        <v>6.8199999999999932</v>
      </c>
      <c r="N102" s="1">
        <f t="shared" si="11"/>
        <v>1.0163934426229508</v>
      </c>
      <c r="O102" s="9">
        <v>6.1999999999999904</v>
      </c>
      <c r="P102" s="16">
        <f t="shared" si="12"/>
        <v>0.16129032258064541</v>
      </c>
      <c r="Q102" s="1">
        <f t="shared" si="14"/>
        <v>2.6441036488630554E-3</v>
      </c>
      <c r="R102" s="17">
        <f t="shared" si="17"/>
        <v>2.6441036488630526E-2</v>
      </c>
    </row>
    <row r="103" spans="1:18" x14ac:dyDescent="0.3">
      <c r="A103" s="2">
        <v>101</v>
      </c>
      <c r="B103" s="1">
        <v>1.0005260859127809</v>
      </c>
      <c r="C103" s="1">
        <f t="shared" si="15"/>
        <v>1.0025706503373757</v>
      </c>
      <c r="D103" s="1">
        <v>1</v>
      </c>
      <c r="F103" s="1">
        <v>1.0001591170864621</v>
      </c>
      <c r="G103" s="1">
        <v>1.0000000000013269</v>
      </c>
      <c r="H103" s="1">
        <f t="shared" si="18"/>
        <v>5.2608591145397732E-4</v>
      </c>
      <c r="M103" s="1">
        <f t="shared" si="13"/>
        <v>6.9299999999999926</v>
      </c>
      <c r="N103" s="1">
        <f t="shared" si="11"/>
        <v>1.0161290322580645</v>
      </c>
      <c r="O103" s="9">
        <v>6.2999999999999901</v>
      </c>
      <c r="P103" s="16">
        <f t="shared" si="12"/>
        <v>0.15873015873015897</v>
      </c>
      <c r="Q103" s="1">
        <f t="shared" si="14"/>
        <v>2.5601638504864355E-3</v>
      </c>
      <c r="R103" s="17">
        <f t="shared" si="17"/>
        <v>2.5601638504864327E-2</v>
      </c>
    </row>
    <row r="104" spans="1:18" x14ac:dyDescent="0.3">
      <c r="A104" s="2">
        <v>102</v>
      </c>
      <c r="B104" s="1">
        <v>1.000519026021796</v>
      </c>
      <c r="C104" s="1">
        <f t="shared" si="15"/>
        <v>1.0020434893736223</v>
      </c>
      <c r="D104" s="1">
        <v>1</v>
      </c>
      <c r="F104" s="1">
        <v>1.0001563270882301</v>
      </c>
      <c r="G104" s="1">
        <v>1.0000000000010281</v>
      </c>
      <c r="H104" s="1">
        <f t="shared" si="18"/>
        <v>5.1902602076792093E-4</v>
      </c>
      <c r="M104" s="1">
        <f t="shared" si="13"/>
        <v>7.039999999999992</v>
      </c>
      <c r="N104" s="1">
        <f t="shared" si="11"/>
        <v>1.0158730158730158</v>
      </c>
      <c r="O104" s="9">
        <v>6.3999999999999897</v>
      </c>
      <c r="P104" s="16">
        <f t="shared" si="12"/>
        <v>0.15625000000000025</v>
      </c>
      <c r="Q104" s="1">
        <f t="shared" si="14"/>
        <v>2.4801587301587213E-3</v>
      </c>
      <c r="R104" s="17">
        <f t="shared" si="17"/>
        <v>2.4801587301587189E-2</v>
      </c>
    </row>
    <row r="105" spans="1:18" x14ac:dyDescent="0.3">
      <c r="A105" s="2">
        <v>103</v>
      </c>
      <c r="B105" s="1">
        <v>1.000512127720067</v>
      </c>
      <c r="C105" s="1">
        <f t="shared" si="15"/>
        <v>1.0015236725261365</v>
      </c>
      <c r="D105" s="1">
        <v>1</v>
      </c>
      <c r="F105" s="1">
        <v>1.000153612519612</v>
      </c>
      <c r="G105" s="1">
        <v>1.000000000000796</v>
      </c>
      <c r="H105" s="1">
        <f t="shared" si="18"/>
        <v>5.1212771927100498E-4</v>
      </c>
      <c r="M105" s="1">
        <f t="shared" si="13"/>
        <v>7.1499999999999915</v>
      </c>
      <c r="N105" s="1">
        <f t="shared" si="11"/>
        <v>1.015625</v>
      </c>
      <c r="O105" s="9">
        <v>6.4999999999999902</v>
      </c>
      <c r="P105" s="16">
        <f t="shared" si="12"/>
        <v>0.15384615384615408</v>
      </c>
      <c r="Q105" s="1">
        <f t="shared" si="14"/>
        <v>2.4038461538461731E-3</v>
      </c>
      <c r="R105" s="17">
        <f t="shared" si="17"/>
        <v>2.4038461538461706E-2</v>
      </c>
    </row>
    <row r="106" spans="1:18" x14ac:dyDescent="0.3">
      <c r="A106" s="2">
        <v>104</v>
      </c>
      <c r="B106" s="1">
        <v>1.000505385808143</v>
      </c>
      <c r="C106" s="1">
        <f>C107*B106</f>
        <v>1.001011027031101</v>
      </c>
      <c r="D106" s="1">
        <v>1</v>
      </c>
      <c r="F106" s="1">
        <v>1.0001509706383589</v>
      </c>
      <c r="G106" s="1">
        <v>1.0000000000006171</v>
      </c>
      <c r="H106" s="1">
        <f t="shared" si="18"/>
        <v>5.0538580752590434E-4</v>
      </c>
      <c r="M106" s="1">
        <f t="shared" si="13"/>
        <v>7.2599999999999909</v>
      </c>
      <c r="N106" s="1">
        <f t="shared" si="11"/>
        <v>1.0153846153846153</v>
      </c>
      <c r="O106" s="9">
        <v>6.5999999999999899</v>
      </c>
      <c r="P106" s="16">
        <f t="shared" si="12"/>
        <v>0.15151515151515174</v>
      </c>
      <c r="Q106" s="1">
        <f t="shared" si="14"/>
        <v>2.3310023310023353E-3</v>
      </c>
      <c r="R106" s="17">
        <f t="shared" si="17"/>
        <v>2.3310023310023329E-2</v>
      </c>
    </row>
    <row r="107" spans="1:18" x14ac:dyDescent="0.3">
      <c r="A107" s="2">
        <v>105</v>
      </c>
      <c r="B107" s="1">
        <v>1.000505385808143</v>
      </c>
      <c r="C107" s="1">
        <f>B107</f>
        <v>1.000505385808143</v>
      </c>
      <c r="D107" s="1">
        <v>1</v>
      </c>
      <c r="F107" s="1">
        <v>1.000148398826989</v>
      </c>
      <c r="G107" s="1">
        <v>1.0000000000004781</v>
      </c>
      <c r="H107" s="1">
        <f t="shared" si="18"/>
        <v>5.0538580766490426E-4</v>
      </c>
      <c r="M107" s="1">
        <f t="shared" si="13"/>
        <v>7.3699999999999921</v>
      </c>
      <c r="N107" s="1">
        <f t="shared" si="11"/>
        <v>1.0151515151515154</v>
      </c>
      <c r="O107" s="9">
        <v>6.6999999999999904</v>
      </c>
      <c r="P107" s="16">
        <f t="shared" si="12"/>
        <v>0.14925373134328379</v>
      </c>
      <c r="Q107" s="1">
        <f t="shared" si="14"/>
        <v>2.2614201718679505E-3</v>
      </c>
      <c r="R107" s="17">
        <f t="shared" si="17"/>
        <v>2.2614201718679481E-2</v>
      </c>
    </row>
    <row r="108" spans="1:18" x14ac:dyDescent="0.3">
      <c r="F108" s="1">
        <v>1.000145894585988</v>
      </c>
      <c r="G108" s="1">
        <v>1.0000000000003699</v>
      </c>
      <c r="H108" s="1">
        <f t="shared" si="18"/>
        <v>-1.0000000000003699</v>
      </c>
      <c r="M108" s="1">
        <f t="shared" si="13"/>
        <v>7.4799999999999924</v>
      </c>
      <c r="N108" s="1">
        <f t="shared" si="11"/>
        <v>1.0149253731343284</v>
      </c>
      <c r="O108" s="9">
        <v>6.7999999999999901</v>
      </c>
      <c r="P108" s="16">
        <f t="shared" si="12"/>
        <v>0.14705882352941199</v>
      </c>
      <c r="Q108" s="1">
        <f t="shared" si="14"/>
        <v>2.1949078138717992E-3</v>
      </c>
      <c r="R108" s="17">
        <f t="shared" si="17"/>
        <v>2.1949078138717971E-2</v>
      </c>
    </row>
    <row r="109" spans="1:18" x14ac:dyDescent="0.3">
      <c r="F109" s="1">
        <v>1.000143455527448</v>
      </c>
      <c r="G109" s="1">
        <v>1.0000000000002871</v>
      </c>
      <c r="H109" s="1">
        <f t="shared" si="18"/>
        <v>-1.0000000000002871</v>
      </c>
      <c r="M109" s="1">
        <f t="shared" si="13"/>
        <v>7.5899999999999919</v>
      </c>
      <c r="N109" s="1">
        <f t="shared" si="11"/>
        <v>1.0147058823529411</v>
      </c>
      <c r="O109" s="9">
        <v>6.8999999999999897</v>
      </c>
      <c r="P109" s="16">
        <f t="shared" si="12"/>
        <v>0.14492753623188429</v>
      </c>
      <c r="Q109" s="1">
        <f t="shared" si="14"/>
        <v>2.1312872975277064E-3</v>
      </c>
      <c r="R109" s="17">
        <f t="shared" si="17"/>
        <v>2.1312872975277043E-2</v>
      </c>
    </row>
    <row r="110" spans="1:18" x14ac:dyDescent="0.3">
      <c r="F110" s="1">
        <v>1.000141079369095</v>
      </c>
      <c r="G110" s="1">
        <v>1.000000000000222</v>
      </c>
      <c r="H110" s="1">
        <f t="shared" si="18"/>
        <v>-1.000000000000222</v>
      </c>
      <c r="M110" s="1">
        <f t="shared" si="13"/>
        <v>7.6999999999999922</v>
      </c>
      <c r="N110" s="1">
        <f t="shared" si="11"/>
        <v>1.0144927536231885</v>
      </c>
      <c r="O110" s="9">
        <v>6.9999999999999902</v>
      </c>
      <c r="P110" s="16">
        <f t="shared" si="12"/>
        <v>0.14285714285714304</v>
      </c>
      <c r="Q110" s="1">
        <f t="shared" si="14"/>
        <v>2.0703933747412417E-3</v>
      </c>
      <c r="R110" s="17">
        <f t="shared" si="17"/>
        <v>2.0703933747412397E-2</v>
      </c>
    </row>
    <row r="111" spans="1:18" x14ac:dyDescent="0.3">
      <c r="F111" s="1">
        <v>1.000138763928698</v>
      </c>
      <c r="G111" s="1">
        <v>1.0000000000001721</v>
      </c>
      <c r="H111" s="1">
        <f t="shared" si="18"/>
        <v>-1.0000000000001721</v>
      </c>
      <c r="M111" s="1">
        <f t="shared" si="13"/>
        <v>7.8099999999999916</v>
      </c>
      <c r="N111" s="1">
        <f t="shared" si="11"/>
        <v>1.0142857142857142</v>
      </c>
      <c r="O111" s="9">
        <v>7.0999999999999899</v>
      </c>
      <c r="P111" s="16">
        <f t="shared" si="12"/>
        <v>0.14084507042253541</v>
      </c>
      <c r="Q111" s="1">
        <f t="shared" si="14"/>
        <v>2.0120724346076313E-3</v>
      </c>
      <c r="R111" s="17">
        <f t="shared" si="17"/>
        <v>2.0120724346076292E-2</v>
      </c>
    </row>
    <row r="112" spans="1:18" x14ac:dyDescent="0.3">
      <c r="F112" s="1">
        <v>1.000136507118816</v>
      </c>
      <c r="G112" s="1">
        <v>1.000000000000133</v>
      </c>
      <c r="H112" s="1">
        <f t="shared" si="18"/>
        <v>-1.000000000000133</v>
      </c>
      <c r="M112" s="1">
        <f t="shared" si="13"/>
        <v>7.9199999999999928</v>
      </c>
      <c r="N112" s="1">
        <f t="shared" si="11"/>
        <v>1.0140845070422537</v>
      </c>
      <c r="O112" s="9">
        <v>7.1999999999999904</v>
      </c>
      <c r="P112" s="16">
        <f t="shared" si="12"/>
        <v>0.13888888888888906</v>
      </c>
      <c r="Q112" s="1">
        <f t="shared" si="14"/>
        <v>1.9561815336463506E-3</v>
      </c>
      <c r="R112" s="17">
        <f t="shared" si="17"/>
        <v>1.9561815336463485E-2</v>
      </c>
    </row>
    <row r="113" spans="6:18" x14ac:dyDescent="0.3">
      <c r="F113" s="1">
        <v>1.000134306941866</v>
      </c>
      <c r="G113" s="1">
        <v>1.000000000000103</v>
      </c>
      <c r="H113" s="1">
        <f t="shared" si="18"/>
        <v>-1.000000000000103</v>
      </c>
      <c r="M113" s="1">
        <f t="shared" si="13"/>
        <v>8.0299999999999923</v>
      </c>
      <c r="N113" s="1">
        <f t="shared" si="11"/>
        <v>1.0138888888888888</v>
      </c>
      <c r="O113" s="9">
        <v>7.2999999999999901</v>
      </c>
      <c r="P113" s="16">
        <f t="shared" si="12"/>
        <v>0.1369863013698632</v>
      </c>
      <c r="Q113" s="1">
        <f t="shared" si="14"/>
        <v>1.9025875190258612E-3</v>
      </c>
      <c r="R113" s="17">
        <f t="shared" si="17"/>
        <v>1.9025875190258591E-2</v>
      </c>
    </row>
    <row r="114" spans="6:18" x14ac:dyDescent="0.3">
      <c r="F114" s="1">
        <v>1.0001321614854899</v>
      </c>
      <c r="G114" s="1">
        <v>1.0000000000000799</v>
      </c>
      <c r="M114" s="1">
        <f t="shared" si="13"/>
        <v>8.1399999999999935</v>
      </c>
      <c r="N114" s="1">
        <f t="shared" si="11"/>
        <v>1.0136986301369864</v>
      </c>
      <c r="O114" s="9">
        <v>7.3999999999999897</v>
      </c>
      <c r="P114" s="16">
        <f t="shared" si="12"/>
        <v>0.13513513513513534</v>
      </c>
      <c r="Q114" s="1">
        <f t="shared" ref="Q114:Q139" si="19">P113-P114</f>
        <v>1.8511662347278635E-3</v>
      </c>
      <c r="R114" s="17">
        <f t="shared" si="17"/>
        <v>1.8511662347278617E-2</v>
      </c>
    </row>
    <row r="115" spans="6:18" x14ac:dyDescent="0.3">
      <c r="F115" s="1">
        <v>1.000130068918198</v>
      </c>
      <c r="G115" s="1">
        <v>1.000000000000062</v>
      </c>
      <c r="M115" s="1">
        <f t="shared" si="13"/>
        <v>8.2499999999999947</v>
      </c>
      <c r="N115" s="1">
        <f t="shared" si="11"/>
        <v>1.0135135135135136</v>
      </c>
      <c r="O115" s="9">
        <v>7.4999999999999902</v>
      </c>
      <c r="P115" s="16">
        <f t="shared" ref="P115:P140" si="20">1/O115</f>
        <v>0.1333333333333335</v>
      </c>
      <c r="Q115" s="1">
        <f t="shared" si="19"/>
        <v>1.8018018018018389E-3</v>
      </c>
      <c r="R115" s="17">
        <f t="shared" ref="R115:R146" si="21">Q115/$P$140</f>
        <v>1.8018018018018372E-2</v>
      </c>
    </row>
    <row r="116" spans="6:18" x14ac:dyDescent="0.3">
      <c r="F116" s="1">
        <v>1.000128027485276</v>
      </c>
      <c r="G116" s="1">
        <v>1.000000000000048</v>
      </c>
      <c r="M116" s="1">
        <f t="shared" si="13"/>
        <v>8.3599999999999941</v>
      </c>
      <c r="N116" s="1">
        <f t="shared" ref="N116:N141" si="22">O116/O115</f>
        <v>1.0133333333333332</v>
      </c>
      <c r="O116" s="9">
        <v>7.5999999999999899</v>
      </c>
      <c r="P116" s="16">
        <f t="shared" si="20"/>
        <v>0.13157894736842124</v>
      </c>
      <c r="Q116" s="1">
        <f t="shared" si="19"/>
        <v>1.7543859649122584E-3</v>
      </c>
      <c r="R116" s="17">
        <f t="shared" ref="R116:R140" si="23">Q116/$P$140</f>
        <v>1.7543859649122567E-2</v>
      </c>
    </row>
    <row r="117" spans="6:18" x14ac:dyDescent="0.3">
      <c r="F117" s="1">
        <v>1.000126035504924</v>
      </c>
      <c r="G117" s="1">
        <v>1.0000000000000371</v>
      </c>
      <c r="M117" s="1">
        <f t="shared" ref="M117:M140" si="24">M116*N117</f>
        <v>8.4699999999999953</v>
      </c>
      <c r="N117" s="1">
        <f t="shared" si="22"/>
        <v>1.0131578947368423</v>
      </c>
      <c r="O117" s="9">
        <v>7.6999999999999904</v>
      </c>
      <c r="P117" s="16">
        <f t="shared" si="20"/>
        <v>0.12987012987013002</v>
      </c>
      <c r="Q117" s="1">
        <f t="shared" si="19"/>
        <v>1.7088174982912152E-3</v>
      </c>
      <c r="R117" s="17">
        <f t="shared" si="23"/>
        <v>1.7088174982912135E-2</v>
      </c>
    </row>
    <row r="118" spans="6:18" x14ac:dyDescent="0.3">
      <c r="F118" s="1">
        <v>1.000124091364631</v>
      </c>
      <c r="G118" s="1">
        <v>1.0000000000000291</v>
      </c>
      <c r="M118" s="1">
        <f t="shared" si="24"/>
        <v>8.5799999999999947</v>
      </c>
      <c r="N118" s="1">
        <f t="shared" si="22"/>
        <v>1.0129870129870129</v>
      </c>
      <c r="O118" s="9">
        <v>7.7999999999999901</v>
      </c>
      <c r="P118" s="16">
        <f t="shared" si="20"/>
        <v>0.12820512820512836</v>
      </c>
      <c r="Q118" s="1">
        <f t="shared" si="19"/>
        <v>1.6650016650016641E-3</v>
      </c>
      <c r="R118" s="17">
        <f t="shared" si="23"/>
        <v>1.6650016650016624E-2</v>
      </c>
    </row>
    <row r="119" spans="6:18" x14ac:dyDescent="0.3">
      <c r="F119" s="1">
        <v>1.000122193517752</v>
      </c>
      <c r="G119" s="1">
        <v>1.000000000000022</v>
      </c>
      <c r="M119" s="1">
        <f t="shared" si="24"/>
        <v>8.6899999999999942</v>
      </c>
      <c r="N119" s="1">
        <f t="shared" si="22"/>
        <v>1.0128205128205128</v>
      </c>
      <c r="O119" s="9">
        <v>7.8999999999999897</v>
      </c>
      <c r="P119" s="16">
        <f t="shared" si="20"/>
        <v>0.12658227848101283</v>
      </c>
      <c r="Q119" s="1">
        <f t="shared" si="19"/>
        <v>1.6228497241155271E-3</v>
      </c>
      <c r="R119" s="17">
        <f t="shared" si="23"/>
        <v>1.6228497241155253E-2</v>
      </c>
    </row>
    <row r="120" spans="6:18" x14ac:dyDescent="0.3">
      <c r="F120" s="1">
        <v>1.000120340480285</v>
      </c>
      <c r="G120" s="1">
        <v>1.0000000000000171</v>
      </c>
      <c r="M120" s="1">
        <f t="shared" si="24"/>
        <v>8.7999999999999954</v>
      </c>
      <c r="N120" s="1">
        <f t="shared" si="22"/>
        <v>1.0126582278481013</v>
      </c>
      <c r="O120" s="9">
        <v>7.9999999999999902</v>
      </c>
      <c r="P120" s="16">
        <f t="shared" si="20"/>
        <v>0.12500000000000017</v>
      </c>
      <c r="Q120" s="1">
        <f t="shared" si="19"/>
        <v>1.5822784810126667E-3</v>
      </c>
      <c r="R120" s="17">
        <f t="shared" si="23"/>
        <v>1.5822784810126649E-2</v>
      </c>
    </row>
    <row r="121" spans="6:18" x14ac:dyDescent="0.3">
      <c r="F121" s="1">
        <v>1.000118530827828</v>
      </c>
      <c r="G121" s="1">
        <v>1.0000000000000131</v>
      </c>
      <c r="M121" s="1">
        <f t="shared" si="24"/>
        <v>8.9099999999999966</v>
      </c>
      <c r="N121" s="1">
        <f t="shared" si="22"/>
        <v>1.0125000000000002</v>
      </c>
      <c r="O121" s="9">
        <v>8.0999999999999908</v>
      </c>
      <c r="P121" s="16">
        <f t="shared" si="20"/>
        <v>0.12345679012345694</v>
      </c>
      <c r="Q121" s="1">
        <f t="shared" si="19"/>
        <v>1.5432098765432306E-3</v>
      </c>
      <c r="R121" s="17">
        <f t="shared" si="23"/>
        <v>1.543209876543229E-2</v>
      </c>
    </row>
    <row r="122" spans="6:18" x14ac:dyDescent="0.3">
      <c r="F122" s="1">
        <v>1.0001167631927139</v>
      </c>
      <c r="G122" s="1">
        <v>1.00000000000001</v>
      </c>
      <c r="M122" s="1">
        <f t="shared" si="24"/>
        <v>9.0199999999999978</v>
      </c>
      <c r="N122" s="1">
        <f t="shared" si="22"/>
        <v>1.0123456790123457</v>
      </c>
      <c r="O122" s="9">
        <v>8.1999999999999904</v>
      </c>
      <c r="P122" s="16">
        <f t="shared" si="20"/>
        <v>0.12195121951219526</v>
      </c>
      <c r="Q122" s="1">
        <f t="shared" si="19"/>
        <v>1.5055706112616779E-3</v>
      </c>
      <c r="R122" s="17">
        <f t="shared" si="23"/>
        <v>1.5055706112616763E-2</v>
      </c>
    </row>
    <row r="123" spans="6:18" x14ac:dyDescent="0.3">
      <c r="F123" s="1">
        <v>1.0001150362613</v>
      </c>
      <c r="G123" s="1">
        <v>1.000000000000008</v>
      </c>
      <c r="M123" s="1">
        <f t="shared" si="24"/>
        <v>9.1299999999999972</v>
      </c>
      <c r="N123" s="1">
        <f t="shared" si="22"/>
        <v>1.0121951219512195</v>
      </c>
      <c r="O123" s="9">
        <v>8.2999999999999901</v>
      </c>
      <c r="P123" s="16">
        <f t="shared" si="20"/>
        <v>0.12048192771084351</v>
      </c>
      <c r="Q123" s="1">
        <f t="shared" si="19"/>
        <v>1.4692918013517464E-3</v>
      </c>
      <c r="R123" s="17">
        <f t="shared" si="23"/>
        <v>1.4692918013517449E-2</v>
      </c>
    </row>
    <row r="124" spans="6:18" x14ac:dyDescent="0.3">
      <c r="M124" s="1">
        <f t="shared" si="24"/>
        <v>9.2399999999999967</v>
      </c>
      <c r="N124" s="1">
        <f t="shared" si="22"/>
        <v>1.0120481927710843</v>
      </c>
      <c r="O124" s="9">
        <v>8.3999999999999897</v>
      </c>
      <c r="P124" s="16">
        <f t="shared" si="20"/>
        <v>0.11904761904761919</v>
      </c>
      <c r="Q124" s="1">
        <f t="shared" si="19"/>
        <v>1.4343086632243179E-3</v>
      </c>
      <c r="R124" s="17">
        <f t="shared" si="23"/>
        <v>1.4343086632243165E-2</v>
      </c>
    </row>
    <row r="125" spans="6:18" x14ac:dyDescent="0.3">
      <c r="M125" s="1">
        <f t="shared" si="24"/>
        <v>9.3499999999999961</v>
      </c>
      <c r="N125" s="1">
        <f t="shared" si="22"/>
        <v>1.0119047619047619</v>
      </c>
      <c r="O125" s="9">
        <v>8.4999999999999893</v>
      </c>
      <c r="P125" s="16">
        <f t="shared" si="20"/>
        <v>0.11764705882352956</v>
      </c>
      <c r="Q125" s="1">
        <f t="shared" si="19"/>
        <v>1.4005602240896309E-3</v>
      </c>
      <c r="R125" s="17">
        <f t="shared" si="23"/>
        <v>1.4005602240896295E-2</v>
      </c>
    </row>
    <row r="126" spans="6:18" x14ac:dyDescent="0.3">
      <c r="M126" s="1">
        <f t="shared" si="24"/>
        <v>9.4599999999999973</v>
      </c>
      <c r="N126" s="1">
        <f t="shared" si="22"/>
        <v>1.0117647058823531</v>
      </c>
      <c r="O126" s="9">
        <v>8.5999999999999908</v>
      </c>
      <c r="P126" s="16">
        <f t="shared" si="20"/>
        <v>0.11627906976744198</v>
      </c>
      <c r="Q126" s="1">
        <f t="shared" si="19"/>
        <v>1.367989056087579E-3</v>
      </c>
      <c r="R126" s="17">
        <f t="shared" si="23"/>
        <v>1.3679890560875776E-2</v>
      </c>
    </row>
    <row r="127" spans="6:18" x14ac:dyDescent="0.3">
      <c r="M127" s="1">
        <f t="shared" si="24"/>
        <v>9.5699999999999967</v>
      </c>
      <c r="N127" s="1">
        <f t="shared" si="22"/>
        <v>1.0116279069767442</v>
      </c>
      <c r="O127" s="9">
        <v>8.6999999999999904</v>
      </c>
      <c r="P127" s="16">
        <f t="shared" si="20"/>
        <v>0.11494252873563231</v>
      </c>
      <c r="Q127" s="1">
        <f t="shared" si="19"/>
        <v>1.3365410318096765E-3</v>
      </c>
      <c r="R127" s="17">
        <f t="shared" si="23"/>
        <v>1.3365410318096752E-2</v>
      </c>
    </row>
    <row r="128" spans="6:18" x14ac:dyDescent="0.3">
      <c r="M128" s="1">
        <f t="shared" si="24"/>
        <v>9.6799999999999962</v>
      </c>
      <c r="N128" s="1">
        <f t="shared" si="22"/>
        <v>1.0114942528735631</v>
      </c>
      <c r="O128" s="9">
        <v>8.7999999999999901</v>
      </c>
      <c r="P128" s="16">
        <f t="shared" si="20"/>
        <v>0.11363636363636377</v>
      </c>
      <c r="Q128" s="1">
        <f t="shared" si="19"/>
        <v>1.3061650992685359E-3</v>
      </c>
      <c r="R128" s="17">
        <f t="shared" si="23"/>
        <v>1.3061650992685345E-2</v>
      </c>
    </row>
    <row r="129" spans="13:18" x14ac:dyDescent="0.3">
      <c r="M129" s="1">
        <f t="shared" si="24"/>
        <v>9.7899999999999956</v>
      </c>
      <c r="N129" s="1">
        <f t="shared" si="22"/>
        <v>1.0113636363636362</v>
      </c>
      <c r="O129" s="9">
        <v>8.8999999999999897</v>
      </c>
      <c r="P129" s="16">
        <f t="shared" si="20"/>
        <v>0.11235955056179789</v>
      </c>
      <c r="Q129" s="1">
        <f t="shared" si="19"/>
        <v>1.2768130745658829E-3</v>
      </c>
      <c r="R129" s="17">
        <f t="shared" si="23"/>
        <v>1.2768130745658815E-2</v>
      </c>
    </row>
    <row r="130" spans="13:18" x14ac:dyDescent="0.3">
      <c r="M130" s="1">
        <f t="shared" si="24"/>
        <v>9.899999999999995</v>
      </c>
      <c r="N130" s="1">
        <f t="shared" si="22"/>
        <v>1.0112359550561798</v>
      </c>
      <c r="O130" s="9">
        <v>8.9999999999999893</v>
      </c>
      <c r="P130" s="16">
        <f t="shared" si="20"/>
        <v>0.11111111111111124</v>
      </c>
      <c r="Q130" s="1">
        <f t="shared" si="19"/>
        <v>1.2484394506866447E-3</v>
      </c>
      <c r="R130" s="17">
        <f t="shared" si="23"/>
        <v>1.2484394506866435E-2</v>
      </c>
    </row>
    <row r="131" spans="13:18" x14ac:dyDescent="0.3">
      <c r="M131" s="1">
        <f t="shared" si="24"/>
        <v>10.009999999999996</v>
      </c>
      <c r="N131" s="1">
        <f t="shared" si="22"/>
        <v>1.0111111111111113</v>
      </c>
      <c r="O131" s="9">
        <v>9.0999999999999908</v>
      </c>
      <c r="P131" s="16">
        <f t="shared" si="20"/>
        <v>0.10989010989011</v>
      </c>
      <c r="Q131" s="1">
        <f t="shared" si="19"/>
        <v>1.2210012210012444E-3</v>
      </c>
      <c r="R131" s="17">
        <f t="shared" si="23"/>
        <v>1.2210012210012432E-2</v>
      </c>
    </row>
    <row r="132" spans="13:18" x14ac:dyDescent="0.3">
      <c r="M132" s="1">
        <f t="shared" si="24"/>
        <v>10.119999999999996</v>
      </c>
      <c r="N132" s="1">
        <f t="shared" si="22"/>
        <v>1.0109890109890109</v>
      </c>
      <c r="O132" s="9">
        <v>9.1999999999999904</v>
      </c>
      <c r="P132" s="16">
        <f t="shared" si="20"/>
        <v>0.10869565217391315</v>
      </c>
      <c r="Q132" s="1">
        <f t="shared" si="19"/>
        <v>1.1944577161968478E-3</v>
      </c>
      <c r="R132" s="17">
        <f t="shared" si="23"/>
        <v>1.1944577161968466E-2</v>
      </c>
    </row>
    <row r="133" spans="13:18" x14ac:dyDescent="0.3">
      <c r="M133" s="1">
        <f t="shared" si="24"/>
        <v>10.229999999999997</v>
      </c>
      <c r="N133" s="1">
        <f t="shared" si="22"/>
        <v>1.0108695652173914</v>
      </c>
      <c r="O133" s="9">
        <v>9.2999999999999901</v>
      </c>
      <c r="P133" s="16">
        <f t="shared" si="20"/>
        <v>0.10752688172043022</v>
      </c>
      <c r="Q133" s="1">
        <f t="shared" si="19"/>
        <v>1.1687704534829313E-3</v>
      </c>
      <c r="R133" s="17">
        <f t="shared" si="23"/>
        <v>1.1687704534829301E-2</v>
      </c>
    </row>
    <row r="134" spans="13:18" x14ac:dyDescent="0.3">
      <c r="M134" s="1">
        <f t="shared" si="24"/>
        <v>10.339999999999996</v>
      </c>
      <c r="N134" s="1">
        <f t="shared" si="22"/>
        <v>1.010752688172043</v>
      </c>
      <c r="O134" s="9">
        <v>9.3999999999999897</v>
      </c>
      <c r="P134" s="16">
        <f t="shared" si="20"/>
        <v>0.10638297872340437</v>
      </c>
      <c r="Q134" s="1">
        <f t="shared" si="19"/>
        <v>1.143902997025853E-3</v>
      </c>
      <c r="R134" s="17">
        <f t="shared" si="23"/>
        <v>1.1439029970258517E-2</v>
      </c>
    </row>
    <row r="135" spans="13:18" x14ac:dyDescent="0.3">
      <c r="M135" s="1">
        <f t="shared" si="24"/>
        <v>10.449999999999998</v>
      </c>
      <c r="N135" s="1">
        <f t="shared" si="22"/>
        <v>1.0106382978723405</v>
      </c>
      <c r="O135" s="9">
        <v>9.4999999999999893</v>
      </c>
      <c r="P135" s="16">
        <f t="shared" si="20"/>
        <v>0.10526315789473696</v>
      </c>
      <c r="Q135" s="1">
        <f t="shared" si="19"/>
        <v>1.1198208286674061E-3</v>
      </c>
      <c r="R135" s="17">
        <f t="shared" si="23"/>
        <v>1.1198208286674049E-2</v>
      </c>
    </row>
    <row r="136" spans="13:18" x14ac:dyDescent="0.3">
      <c r="M136" s="1">
        <f t="shared" si="24"/>
        <v>10.56</v>
      </c>
      <c r="N136" s="1">
        <f t="shared" si="22"/>
        <v>1.0105263157894739</v>
      </c>
      <c r="O136" s="9">
        <v>9.5999999999999908</v>
      </c>
      <c r="P136" s="16">
        <f t="shared" si="20"/>
        <v>0.10416666666666677</v>
      </c>
      <c r="Q136" s="1">
        <f t="shared" si="19"/>
        <v>1.0964912280701927E-3</v>
      </c>
      <c r="R136" s="17">
        <f t="shared" si="23"/>
        <v>1.0964912280701917E-2</v>
      </c>
    </row>
    <row r="137" spans="13:18" x14ac:dyDescent="0.3">
      <c r="M137" s="1">
        <f t="shared" si="24"/>
        <v>10.670000000000002</v>
      </c>
      <c r="N137" s="1">
        <f t="shared" si="22"/>
        <v>1.0104166666666667</v>
      </c>
      <c r="O137" s="9">
        <v>9.6999999999999904</v>
      </c>
      <c r="P137" s="16">
        <f t="shared" si="20"/>
        <v>0.10309278350515474</v>
      </c>
      <c r="Q137" s="1">
        <f t="shared" si="19"/>
        <v>1.0738831615120237E-3</v>
      </c>
      <c r="R137" s="17">
        <f t="shared" si="23"/>
        <v>1.0738831615120226E-2</v>
      </c>
    </row>
    <row r="138" spans="13:18" x14ac:dyDescent="0.3">
      <c r="M138" s="1">
        <f t="shared" si="24"/>
        <v>10.780000000000001</v>
      </c>
      <c r="N138" s="1">
        <f t="shared" si="22"/>
        <v>1.0103092783505154</v>
      </c>
      <c r="O138" s="9">
        <v>9.7999999999999901</v>
      </c>
      <c r="P138" s="16">
        <f t="shared" si="20"/>
        <v>0.10204081632653071</v>
      </c>
      <c r="Q138" s="1">
        <f t="shared" si="19"/>
        <v>1.0519671786240331E-3</v>
      </c>
      <c r="R138" s="17">
        <f t="shared" si="23"/>
        <v>1.0519671786240321E-2</v>
      </c>
    </row>
    <row r="139" spans="13:18" x14ac:dyDescent="0.3">
      <c r="M139" s="1">
        <f t="shared" si="24"/>
        <v>10.89</v>
      </c>
      <c r="N139" s="1">
        <f t="shared" si="22"/>
        <v>1.010204081632653</v>
      </c>
      <c r="O139" s="9">
        <v>9.8999999999999897</v>
      </c>
      <c r="P139" s="16">
        <f t="shared" si="20"/>
        <v>0.10101010101010112</v>
      </c>
      <c r="Q139" s="1">
        <f t="shared" si="19"/>
        <v>1.0307153164295924E-3</v>
      </c>
      <c r="R139" s="17">
        <f t="shared" si="23"/>
        <v>1.0307153164295913E-2</v>
      </c>
    </row>
    <row r="140" spans="13:18" x14ac:dyDescent="0.3">
      <c r="M140" s="1">
        <f t="shared" si="24"/>
        <v>11.000000000000002</v>
      </c>
      <c r="N140" s="1">
        <f t="shared" si="22"/>
        <v>1.0101010101010102</v>
      </c>
      <c r="O140" s="9">
        <v>9.9999999999999893</v>
      </c>
      <c r="P140" s="16">
        <f t="shared" si="20"/>
        <v>0.1000000000000001</v>
      </c>
      <c r="Q140" s="1">
        <f>P139-P140</f>
        <v>1.0101010101010166E-3</v>
      </c>
      <c r="R140" s="17">
        <f t="shared" si="23"/>
        <v>1.0101010101010156E-2</v>
      </c>
    </row>
    <row r="141" spans="13:18" x14ac:dyDescent="0.3">
      <c r="N141" s="1">
        <f t="shared" si="22"/>
        <v>0</v>
      </c>
      <c r="O141" s="9"/>
      <c r="P141" s="7"/>
    </row>
    <row r="142" spans="13:18" x14ac:dyDescent="0.3">
      <c r="O142" s="9"/>
      <c r="P142" s="7"/>
    </row>
    <row r="143" spans="13:18" x14ac:dyDescent="0.3">
      <c r="O143" s="9"/>
      <c r="P14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2025-12-17T15:03:46Z</dcterms:created>
  <dcterms:modified xsi:type="dcterms:W3CDTF">2026-01-19T19:37:38Z</dcterms:modified>
</cp:coreProperties>
</file>