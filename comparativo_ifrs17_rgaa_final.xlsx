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14DE2170-5102-4AD9-9F6E-4C79D40D8544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21" i="1"/>
  <c r="E21" i="1" s="1"/>
  <c r="D26" i="1"/>
  <c r="C26" i="1"/>
  <c r="E26" i="1" s="1"/>
  <c r="C21" i="1"/>
  <c r="C16" i="1"/>
  <c r="B27" i="1"/>
  <c r="B22" i="1"/>
  <c r="E22" i="1" s="1"/>
  <c r="F21" i="1" s="1"/>
  <c r="B17" i="1"/>
  <c r="B26" i="1"/>
  <c r="B21" i="1"/>
  <c r="B16" i="1"/>
  <c r="E27" i="1"/>
  <c r="E17" i="1"/>
  <c r="F16" i="1" s="1"/>
  <c r="F26" i="1" l="1"/>
  <c r="E16" i="1"/>
</calcChain>
</file>

<file path=xl/sharedStrings.xml><?xml version="1.0" encoding="utf-8"?>
<sst xmlns="http://schemas.openxmlformats.org/spreadsheetml/2006/main" count="30" uniqueCount="16">
  <si>
    <t>RC daños a cosas_IFRS17</t>
  </si>
  <si>
    <t>RC lesiones 3º no transportados_IFRS17</t>
  </si>
  <si>
    <t>RC lesiones 3º transportados_IFRS17</t>
  </si>
  <si>
    <t>RC daños a cosas VP</t>
  </si>
  <si>
    <t>RC lesiones 3º no transportados VP</t>
  </si>
  <si>
    <t>RC lesiones 3º transportados VP</t>
  </si>
  <si>
    <t>RC daños a cosas_RGAA</t>
  </si>
  <si>
    <t>RC lesiones 3º no transportados_RGAA</t>
  </si>
  <si>
    <t>RC lesiones 3º transportados_RGAA</t>
  </si>
  <si>
    <t>IFRS 17</t>
  </si>
  <si>
    <t>RGAA</t>
  </si>
  <si>
    <t>IBNR</t>
  </si>
  <si>
    <t>Desc</t>
  </si>
  <si>
    <t>RA</t>
  </si>
  <si>
    <t>Total</t>
  </si>
  <si>
    <t>RC lesiones 3º no transportados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</si>
</sst>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/>
    <xf numFmtId="0" fontId="0" fillId="0" borderId="1" xfId="0" applyBorder="1"/>
    <xf numFmtId="167" fontId="0" fillId="0" borderId="3" xfId="0" applyNumberFormat="1" applyBorder="1"/>
    <xf numFmtId="167" fontId="0" fillId="0" borderId="4" xfId="0" applyNumberFormat="1" applyBorder="1"/>
    <xf numFmtId="167" fontId="0" fillId="0" borderId="5" xfId="0" applyNumberFormat="1" applyBorder="1"/>
    <xf numFmtId="167" fontId="0" fillId="0" borderId="0" xfId="0" applyNumberFormat="1"/>
    <xf numFmtId="167" fontId="0" fillId="0" borderId="1" xfId="0" applyNumberFormat="1" applyFont="1" applyFill="1" applyBorder="1"/>
    <xf numFmtId="167" fontId="0" fillId="0" borderId="6" xfId="0" applyNumberFormat="1" applyBorder="1"/>
    <xf numFmtId="0" fontId="0" fillId="0" borderId="2" xfId="0" applyNumberFormat="1" applyBorder="1"/>
    <xf numFmtId="167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topLeftCell="A13" workbookViewId="0">
      <selection activeCell="F10" sqref="F10"/>
    </sheetView>
  </sheetViews>
  <sheetFormatPr defaultRowHeight="15" x14ac:dyDescent="0.25"/>
  <cols>
    <col min="1" max="1" width="36.5703125" bestFit="1" customWidth="1"/>
    <col min="2" max="2" width="12" bestFit="1" customWidth="1"/>
    <col min="3" max="3" width="12.7109375" bestFit="1" customWidth="1"/>
    <col min="4" max="5" width="12" bestFit="1" customWidth="1"/>
    <col min="6" max="6" width="12.7109375" bestFit="1" customWidth="1"/>
  </cols>
  <sheetData>
    <row r="1" spans="1:6" x14ac:dyDescent="0.25">
      <c r="B1" s="1">
        <v>0</v>
      </c>
    </row>
    <row r="2" spans="1:6" x14ac:dyDescent="0.25">
      <c r="A2" s="1" t="s">
        <v>0</v>
      </c>
      <c r="B2">
        <v>437.18859030923011</v>
      </c>
    </row>
    <row r="3" spans="1:6" x14ac:dyDescent="0.25">
      <c r="A3" s="1" t="s">
        <v>1</v>
      </c>
      <c r="B3">
        <v>2310.1124457405222</v>
      </c>
    </row>
    <row r="4" spans="1:6" x14ac:dyDescent="0.25">
      <c r="A4" s="1" t="s">
        <v>2</v>
      </c>
      <c r="B4">
        <v>174.05633333871731</v>
      </c>
    </row>
    <row r="5" spans="1:6" x14ac:dyDescent="0.25">
      <c r="A5" s="1" t="s">
        <v>3</v>
      </c>
      <c r="B5">
        <v>378.14206980644542</v>
      </c>
    </row>
    <row r="6" spans="1:6" x14ac:dyDescent="0.25">
      <c r="A6" s="1" t="s">
        <v>4</v>
      </c>
      <c r="B6">
        <v>1694.0183331241469</v>
      </c>
    </row>
    <row r="7" spans="1:6" x14ac:dyDescent="0.25">
      <c r="A7" s="1" t="s">
        <v>5</v>
      </c>
      <c r="B7">
        <v>120.9689723465992</v>
      </c>
    </row>
    <row r="8" spans="1:6" x14ac:dyDescent="0.25">
      <c r="A8" s="1" t="s">
        <v>6</v>
      </c>
      <c r="B8">
        <v>538.57073568454507</v>
      </c>
    </row>
    <row r="9" spans="1:6" x14ac:dyDescent="0.25">
      <c r="A9" s="1" t="s">
        <v>7</v>
      </c>
      <c r="B9">
        <v>1053.0508897497571</v>
      </c>
    </row>
    <row r="10" spans="1:6" x14ac:dyDescent="0.25">
      <c r="A10" s="1" t="s">
        <v>8</v>
      </c>
      <c r="B10">
        <v>67.752971946354407</v>
      </c>
    </row>
    <row r="14" spans="1:6" x14ac:dyDescent="0.25">
      <c r="D14" s="8">
        <v>0.1375521532639285</v>
      </c>
    </row>
    <row r="15" spans="1:6" x14ac:dyDescent="0.25">
      <c r="A15" s="2" t="s">
        <v>15</v>
      </c>
      <c r="B15" s="3" t="s">
        <v>11</v>
      </c>
      <c r="C15" s="3" t="s">
        <v>12</v>
      </c>
      <c r="D15" s="3" t="s">
        <v>13</v>
      </c>
      <c r="E15" s="3" t="s">
        <v>14</v>
      </c>
    </row>
    <row r="16" spans="1:6" x14ac:dyDescent="0.25">
      <c r="A16" s="4" t="s">
        <v>9</v>
      </c>
      <c r="B16" s="5">
        <f>B2</f>
        <v>437.18859030923011</v>
      </c>
      <c r="C16" s="7">
        <f>B5-B16</f>
        <v>-59.046520502784688</v>
      </c>
      <c r="D16" s="6">
        <f>D14*SUM(B16:C16)</f>
        <v>52.014255941555334</v>
      </c>
      <c r="E16" s="7">
        <f>SUM(B16:D16)</f>
        <v>430.15632574800077</v>
      </c>
      <c r="F16">
        <f>E16/E17-1</f>
        <v>-0.20130022437766737</v>
      </c>
    </row>
    <row r="17" spans="1:6" x14ac:dyDescent="0.25">
      <c r="A17" s="4" t="s">
        <v>10</v>
      </c>
      <c r="B17" s="10">
        <f>B8</f>
        <v>538.57073568454507</v>
      </c>
      <c r="C17" s="13">
        <v>0</v>
      </c>
      <c r="D17" s="11">
        <v>0</v>
      </c>
      <c r="E17" s="12">
        <f>SUM(B17:D17)</f>
        <v>538.57073568454507</v>
      </c>
    </row>
    <row r="18" spans="1:6" x14ac:dyDescent="0.25">
      <c r="B18" s="8"/>
      <c r="C18" s="8"/>
      <c r="D18" s="8"/>
      <c r="E18" s="8"/>
    </row>
    <row r="19" spans="1:6" x14ac:dyDescent="0.25">
      <c r="B19" s="8"/>
      <c r="C19" s="8"/>
      <c r="D19" s="8">
        <v>5.5182695843936591E-2</v>
      </c>
      <c r="E19" s="8"/>
    </row>
    <row r="20" spans="1:6" x14ac:dyDescent="0.25">
      <c r="A20" s="2" t="s">
        <v>15</v>
      </c>
      <c r="B20" s="9" t="s">
        <v>11</v>
      </c>
      <c r="C20" s="9" t="s">
        <v>12</v>
      </c>
      <c r="D20" s="9" t="s">
        <v>13</v>
      </c>
      <c r="E20" s="9" t="s">
        <v>14</v>
      </c>
    </row>
    <row r="21" spans="1:6" x14ac:dyDescent="0.25">
      <c r="A21" s="4" t="s">
        <v>9</v>
      </c>
      <c r="B21" s="5">
        <f>B3</f>
        <v>2310.1124457405222</v>
      </c>
      <c r="C21" s="7">
        <f>B6-B21</f>
        <v>-616.09411261637524</v>
      </c>
      <c r="D21" s="6">
        <f>D19*SUM(B21:C21)</f>
        <v>93.48049843084226</v>
      </c>
      <c r="E21" s="7">
        <f>SUM(B21:D21)</f>
        <v>1787.4988315549892</v>
      </c>
      <c r="F21">
        <f>E21/E22-1</f>
        <v>0.69744771972013964</v>
      </c>
    </row>
    <row r="22" spans="1:6" x14ac:dyDescent="0.25">
      <c r="A22" s="4" t="s">
        <v>10</v>
      </c>
      <c r="B22" s="10">
        <f>B9</f>
        <v>1053.0508897497571</v>
      </c>
      <c r="C22" s="13">
        <v>0</v>
      </c>
      <c r="D22" s="11">
        <v>0</v>
      </c>
      <c r="E22" s="12">
        <f>SUM(B22:D22)</f>
        <v>1053.0508897497571</v>
      </c>
    </row>
    <row r="23" spans="1:6" x14ac:dyDescent="0.25">
      <c r="B23" s="8"/>
      <c r="C23" s="8"/>
      <c r="D23" s="8"/>
      <c r="E23" s="8"/>
    </row>
    <row r="24" spans="1:6" x14ac:dyDescent="0.25">
      <c r="B24" s="8"/>
      <c r="C24" s="8"/>
      <c r="D24" s="8">
        <v>0.10749750235992635</v>
      </c>
      <c r="E24" s="8"/>
    </row>
    <row r="25" spans="1:6" x14ac:dyDescent="0.25">
      <c r="A25" s="2" t="s">
        <v>15</v>
      </c>
      <c r="B25" s="9" t="s">
        <v>11</v>
      </c>
      <c r="C25" s="9" t="s">
        <v>12</v>
      </c>
      <c r="D25" s="9" t="s">
        <v>13</v>
      </c>
      <c r="E25" s="9" t="s">
        <v>14</v>
      </c>
    </row>
    <row r="26" spans="1:6" x14ac:dyDescent="0.25">
      <c r="A26" s="4" t="s">
        <v>9</v>
      </c>
      <c r="B26" s="5">
        <f>B4</f>
        <v>174.05633333871731</v>
      </c>
      <c r="C26" s="7">
        <f>B7-B26</f>
        <v>-53.087360992118107</v>
      </c>
      <c r="D26" s="6">
        <f>D24*SUM(B26:C26)</f>
        <v>13.003862390306413</v>
      </c>
      <c r="E26" s="7">
        <f>SUM(B26:D26)</f>
        <v>133.97283473690561</v>
      </c>
      <c r="F26">
        <f>E26/E27-1</f>
        <v>0.97737207517602198</v>
      </c>
    </row>
    <row r="27" spans="1:6" x14ac:dyDescent="0.25">
      <c r="A27" s="4" t="s">
        <v>10</v>
      </c>
      <c r="B27" s="10">
        <f>B10</f>
        <v>67.752971946354407</v>
      </c>
      <c r="C27" s="13">
        <v>0</v>
      </c>
      <c r="D27" s="11">
        <v>0</v>
      </c>
      <c r="E27" s="12">
        <f>SUM(B27:D27)</f>
        <v>67.752971946354407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2026-01-26T00:28:40Z</dcterms:created>
  <dcterms:modified xsi:type="dcterms:W3CDTF">2026-01-26T01:06:06Z</dcterms:modified>
</cp:coreProperties>
</file>